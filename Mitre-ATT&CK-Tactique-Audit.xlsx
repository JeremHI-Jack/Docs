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Z:\"/>
    </mc:Choice>
  </mc:AlternateContent>
  <xr:revisionPtr revIDLastSave="0" documentId="13_ncr:1_{09E41845-EA94-4A68-8314-9A2D92878F1E}" xr6:coauthVersionLast="47" xr6:coauthVersionMax="47" xr10:uidLastSave="{00000000-0000-0000-0000-000000000000}"/>
  <bookViews>
    <workbookView xWindow="-120" yWindow="-120" windowWidth="51840" windowHeight="21120" xr2:uid="{27FE1649-CCD8-474E-AE62-3E8FD2B148BF}"/>
  </bookViews>
  <sheets>
    <sheet name="ACCUEIL" sheetId="7" r:id="rId1"/>
    <sheet name="FORMULAIRE" sheetId="4" r:id="rId2"/>
  </sheets>
  <definedNames>
    <definedName name="_xlnm._FilterDatabase" localSheetId="1" hidden="1">FORMULAIRE!$A$1:$F$867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70" i="4" l="1"/>
  <c r="D869" i="4"/>
  <c r="D871" i="4"/>
  <c r="E869" i="4" s="1"/>
  <c r="C878" i="4"/>
  <c r="D878" i="4"/>
  <c r="E878" i="4"/>
  <c r="C879" i="4"/>
  <c r="D879" i="4"/>
  <c r="E879" i="4"/>
  <c r="C880" i="4"/>
  <c r="D880" i="4"/>
  <c r="E880" i="4"/>
  <c r="C881" i="4"/>
  <c r="D881" i="4"/>
  <c r="E881" i="4"/>
  <c r="C882" i="4"/>
  <c r="D882" i="4"/>
  <c r="E882" i="4"/>
  <c r="C883" i="4"/>
  <c r="D883" i="4"/>
  <c r="E883" i="4"/>
  <c r="C884" i="4"/>
  <c r="D884" i="4"/>
  <c r="E884" i="4"/>
  <c r="C885" i="4"/>
  <c r="D885" i="4"/>
  <c r="E885" i="4"/>
  <c r="C886" i="4"/>
  <c r="D886" i="4"/>
  <c r="E886" i="4"/>
  <c r="C887" i="4"/>
  <c r="D887" i="4"/>
  <c r="E887" i="4"/>
  <c r="E888" i="4"/>
  <c r="D888" i="4"/>
  <c r="C888" i="4"/>
  <c r="F888" i="4" s="1"/>
  <c r="E877" i="4"/>
  <c r="D877" i="4"/>
  <c r="C877" i="4"/>
  <c r="F877" i="4" s="1"/>
  <c r="E876" i="4"/>
  <c r="D876" i="4"/>
  <c r="C876" i="4"/>
  <c r="E875" i="4"/>
  <c r="D875" i="4"/>
  <c r="C875" i="4"/>
  <c r="F887" i="4" l="1"/>
  <c r="F881" i="4"/>
  <c r="F876" i="4"/>
  <c r="F875" i="4"/>
  <c r="F886" i="4"/>
  <c r="F885" i="4"/>
  <c r="F884" i="4"/>
  <c r="F883" i="4"/>
  <c r="F882" i="4"/>
  <c r="F880" i="4"/>
  <c r="F879" i="4"/>
  <c r="F878" i="4"/>
  <c r="E870" i="4"/>
</calcChain>
</file>

<file path=xl/sharedStrings.xml><?xml version="1.0" encoding="utf-8"?>
<sst xmlns="http://schemas.openxmlformats.org/spreadsheetml/2006/main" count="3551" uniqueCount="1374">
  <si>
    <t>Reconnaissance</t>
  </si>
  <si>
    <t>Analyse active</t>
  </si>
  <si>
    <t>L’adversaire tente de recueillir des informations qu’il peut utiliser pour planifier des opérations futures.
La reconnaissance consiste en des techniques qui impliquent que les adversaires collectent activement ou passivement des informations qui peuvent être utilisées pour appuyer le ciblage. Ces informations peuvent inclure des détails sur l'organisation, l'infrastructure ou le personnel de la victime. Ces informations peuvent être exploitées par l'adversaire pour aider dans d'autres phases du cycle de vie de l'adversaire, comme l'utilisation des informations recueillies pour planifier et exécuter l'accès initial, pour définir et hiérarchiser les objectifs post-compromission, ou pour conduire et diriger d'autres efforts de reconnaissance.</t>
  </si>
  <si>
    <t>Description</t>
  </si>
  <si>
    <t>DNS</t>
  </si>
  <si>
    <t>Botnet</t>
  </si>
  <si>
    <t>Exploits</t>
  </si>
  <si>
    <t>PowerShell</t>
  </si>
  <si>
    <t>AppleScript</t>
  </si>
  <si>
    <t>Visual Basic</t>
  </si>
  <si>
    <t>Python</t>
  </si>
  <si>
    <t>JavaScript</t>
  </si>
  <si>
    <t>Lua</t>
  </si>
  <si>
    <t>Cron</t>
  </si>
  <si>
    <t>COR_PROFILER</t>
  </si>
  <si>
    <t>Web Shell</t>
  </si>
  <si>
    <t>Rootkit</t>
  </si>
  <si>
    <t>CMSTP</t>
  </si>
  <si>
    <t>InstallUtil</t>
  </si>
  <si>
    <t>Mshta</t>
  </si>
  <si>
    <t>Msiexec</t>
  </si>
  <si>
    <t>Odbcconf</t>
  </si>
  <si>
    <t>Regsvcs/Regasm</t>
  </si>
  <si>
    <t>Regsvr32</t>
  </si>
  <si>
    <t>Rundll32</t>
  </si>
  <si>
    <t>Mavinject</t>
  </si>
  <si>
    <t>MMC</t>
  </si>
  <si>
    <t>PubPrn</t>
  </si>
  <si>
    <t>MSBuild</t>
  </si>
  <si>
    <t>NTDS</t>
  </si>
  <si>
    <t>Kerberoasting</t>
  </si>
  <si>
    <t>SSH</t>
  </si>
  <si>
    <t>VNC</t>
  </si>
  <si>
    <t>Collection</t>
  </si>
  <si>
    <t>Confluence</t>
  </si>
  <si>
    <t>Sharepoint</t>
  </si>
  <si>
    <t>Exfiltration</t>
  </si>
  <si>
    <t>Impact</t>
  </si>
  <si>
    <t>Les adversaires peuvent exécuter des analyses de reconnaissance active pour recueillir des informations pouvant être utilisées lors du ciblage. Les analyses actives sont celles où l'adversaire sonde l'infrastructure de la victime via le trafic réseau, par opposition à d'autres formes de reconnaissance qui n'impliquent pas d'interaction directe.</t>
  </si>
  <si>
    <t>Analyse des blocs IP</t>
  </si>
  <si>
    <t>Les adversaires peuvent analyser les blocs d'adresses IP des victimes pour recueillir des informations pouvant être utilisées lors du ciblage. Les adresses IP publiques peuvent être attribuées aux organisations par bloc ou par une plage d'adresses séquentielles.</t>
  </si>
  <si>
    <t>Analyse de vulnérabilité</t>
  </si>
  <si>
    <t>Les adversaires peuvent analyser les victimes à la recherche de vulnérabilités pouvant être exploitées lors du ciblage. Les analyses de vulnérabilité vérifient généralement si la configuration d'un hôte ou d'une application cible (par exemple, le logiciel et la version) correspond potentiellement à la cible d'un exploit spécifique que l'adversaire pourrait chercher à utiliser.</t>
  </si>
  <si>
    <t>Numérisation de la liste de mots</t>
  </si>
  <si>
    <t>Recueillir des informations sur la victime hôte</t>
  </si>
  <si>
    <t>Matériel</t>
  </si>
  <si>
    <t>Les adversaires peuvent recueillir des informations sur le matériel hôte de la victime qui peuvent être utilisées lors du ciblage. Les informations sur l'infrastructure matérielle peuvent inclure divers détails tels que les types et les versions sur des hôtes spécifiques, ainsi que la présence de composants supplémentaires qui pourraient indiquer des protections défensives supplémentaires (par exemple : lecteurs de cartes/biométriques, matériel de chiffrement dédié, etc.).</t>
  </si>
  <si>
    <t>Logiciel</t>
  </si>
  <si>
    <t>Micrologiciel</t>
  </si>
  <si>
    <t>Configurations client</t>
  </si>
  <si>
    <t>Recueillir des informations sur l'identité de la victime</t>
  </si>
  <si>
    <t>Les adversaires peuvent recueillir des informations sur l'identité de la victime qui peuvent être utilisées lors du ciblage. Les informations sur les identités peuvent inclure une variété de détails, y compris des données personnelles (ex. : noms des employés, adresses e-mail, réponses aux questions de sécurité, etc.) ainsi que des détails sensibles tels que les informations d'identification ou les configurations d'authentification multifacteur (MFA).</t>
  </si>
  <si>
    <t>Informations d'identification</t>
  </si>
  <si>
    <t>Les adversaires peuvent recueillir des informations d'identification qui peuvent être utilisées lors du ciblage. Les informations d'identification de compte recueillies par les adversaires peuvent être celles directement associées à l'organisation de la victime ciblée ou tenter de tirer parti de la tendance des utilisateurs à utiliser les mêmes mots de passe sur leurs comptes personnels et professionnels.</t>
  </si>
  <si>
    <t>Adresses e-mail</t>
  </si>
  <si>
    <t>Les adversaires peuvent collecter des adresses e-mail qui peuvent être utilisées lors du ciblage. Même si des instances internes existent, les organisations peuvent disposer d'une infrastructure de messagerie électronique publique et d'adresses pour les employés.</t>
  </si>
  <si>
    <t>Noms des employés</t>
  </si>
  <si>
    <t>Les adversaires peuvent recueillir les noms des employés qui peuvent être utilisés lors du ciblage. Les noms des employés peuvent être utilisés pour obtenir des adresses e-mail ainsi que pour guider d'autres efforts de reconnaissance et/ou pour créer des leurres plus crédibles.</t>
  </si>
  <si>
    <t>Recueillir des informations sur le réseau des victimes</t>
  </si>
  <si>
    <t>Les adversaires peuvent recueillir des informations sur les réseaux de la victime qui peuvent être utilisées lors du ciblage. Les informations sur les réseaux peuvent inclure une variété de détails, notamment des données administratives (plage d'adresses IP, noms de domaine, etc.) ainsi que des détails concernant sa topologie et son fonctionnement.</t>
  </si>
  <si>
    <t>Propriétés du domaine</t>
  </si>
  <si>
    <t>Les adversaires peuvent recueillir des informations sur le DNS de la victime qui peuvent être utilisées lors du ciblage. Les informations DNS peuvent inclure divers détails, notamment des serveurs de noms enregistrés ainsi que des enregistrements décrivant l'adressage des sous-domaines, des serveurs de messagerie et d'autres hôtes d'une cible. Les enregistrements DNS MX, TXT et SPF peuvent également révéler l'utilisation de fournisseurs de cloud et de SaaS tiers, tels qu'Office 365, G Suite, Salesforce ou Zendesk.</t>
  </si>
  <si>
    <t>Dépendances de confiance du réseau</t>
  </si>
  <si>
    <t>Topologie du réseau</t>
  </si>
  <si>
    <t>Les adversaires peuvent recueillir des informations sur la topologie du réseau de la victime qui peuvent être utilisées lors du ciblage. Les informations sur les topologies de réseau peuvent inclure une variété de détails, notamment la disposition physique et/ou logique des environnements réseau externes et internes. Ces informations peuvent également inclure des spécificités concernant les périphériques réseau (passerelles, routeurs, etc.) et d'autres infrastructures.</t>
  </si>
  <si>
    <t>Adresses IP</t>
  </si>
  <si>
    <t>Les adversaires peuvent recueillir les adresses IP de la victime qui peuvent être utilisées lors du ciblage. Les adresses IP publiques peuvent être attribuées aux organisations par bloc ou par une plage d'adresses séquentielles. Les informations sur les adresses IP attribuées peuvent inclure divers détails, tels que les adresses IP utilisées. Les adresses IP peuvent également permettre à un adversaire d'obtenir d'autres détails sur une victime, tels que la taille de l'organisation, les emplacements physiques, le fournisseur d'accès Internet et/ou l'endroit/la manière dont son infrastructure publique est hébergée.</t>
  </si>
  <si>
    <t>Dispositifs de sécurité réseau</t>
  </si>
  <si>
    <t>Les adversaires peuvent recueillir des informations sur les dispositifs de sécurité réseau de la victime qui peuvent être utilisées lors du ciblage. Les informations sur les dispositifs de sécurité réseau peuvent inclure une variété de détails, tels que l'existence et les spécificités des pare-feu déployés, des filtres de contenu et des proxys/hôtes bastions. Les adversaires peuvent également cibler des informations sur les systèmes de détection d'intrusion basés sur le réseau (NIDS) de la victime ou d'autres dispositifs liés aux opérations de cybersécurité défensives.</t>
  </si>
  <si>
    <t>Recueillir des informations sur l'organisation des victimes</t>
  </si>
  <si>
    <t>Les adversaires peuvent recueillir des informations sur l'organisation de la victime qui peuvent être utilisées lors du ciblage. Les informations sur une organisation peuvent inclure une variété de détails, notamment les noms des divisions/services, les spécificités des opérations commerciales, ainsi que les rôles et responsabilités des employés clés.</t>
  </si>
  <si>
    <t>Déterminer les emplacements physiques</t>
  </si>
  <si>
    <t>Les adversaires peuvent recueillir les coordonnées physiques de la victime qui peuvent être utilisées lors du ciblage. Les informations sur les emplacements physiques d'une organisation ciblée peuvent inclure divers détails, notamment l'emplacement des ressources et infrastructures clés. Les emplacements physiques peuvent également indiquer la juridiction légale et/ou les autorités dans lesquelles la victime opère.</t>
  </si>
  <si>
    <t>Relations d'affaires</t>
  </si>
  <si>
    <t>Identifier le rythme de l'entreprise</t>
  </si>
  <si>
    <t>Les adversaires peuvent recueillir des informations sur le rythme d'activité de la victime qui peuvent être utilisées lors du ciblage. Les informations sur le rythme d'activité d'une organisation peuvent inclure divers détails, notamment les heures/jours d'ouverture de la semaine. Ces informations peuvent également révéler les heures/dates d'achat et d'expédition des ressources matérielles et logicielles de la victime.</t>
  </si>
  <si>
    <t>Identifier les rôles</t>
  </si>
  <si>
    <t>Les adversaires peuvent recueillir des informations sur les identités et les rôles au sein de l'organisation victime qui peuvent être utilisées lors du ciblage. Les informations sur les rôles au sein de l'entreprise peuvent révéler une variété de détails ciblables, notamment des informations identifiables sur le personnel clé ainsi que les données/ressources auxquelles il a accès.</t>
  </si>
  <si>
    <t>Hameçonnage pour obtenir des informations</t>
  </si>
  <si>
    <t>Service de spearphishing</t>
  </si>
  <si>
    <t>Attachement pour hameçonnage ciblé</t>
  </si>
  <si>
    <t>Lien de spearphishing</t>
  </si>
  <si>
    <t>Voix de spearphishing</t>
  </si>
  <si>
    <t>Rechercher des sources fermées</t>
  </si>
  <si>
    <t>Les adversaires peuvent rechercher et collecter des informations sur les victimes à partir de sources fermées (par exemple, payantes, privées ou autrement non disponibles gratuitement) qui peuvent être utilisées lors du ciblage. Les informations sur les victimes peuvent être disponibles à l'achat auprès de sources et de bases de données privées réputées, telles que des abonnements payants à des flux de données techniques/de renseignements sur les menaces. Les adversaires peuvent également acheter des informations auprès de sources moins réputées telles que le dark web ou les marchés noirs de la cybercriminalité.</t>
  </si>
  <si>
    <t>Fournisseurs de renseignements sur les menaces</t>
  </si>
  <si>
    <t>Les adversaires peuvent rechercher des données privées auprès des fournisseurs de renseignements sur les menaces pour obtenir des informations pouvant être utilisées lors du ciblage. Les fournisseurs de renseignements sur les menaces peuvent proposer des flux ou des portails payants qui offrent plus de données que ce qui est rapporté publiquement. Bien que des détails sensibles (tels que les noms des clients et d'autres identifiants) puissent être expurgés, ces informations peuvent contenir des tendances concernant les violations telles que les secteurs ciblés, les revendications d'attribution et les TTP/contre-mesures réussies.</t>
  </si>
  <si>
    <t>Acheter des données techniques</t>
  </si>
  <si>
    <t>Les adversaires peuvent acheter des informations techniques sur les victimes qui peuvent être utilisées lors du ciblage. Les informations sur les victimes peuvent être disponibles à l'achat auprès de sources et de bases de données privées réputées, telles que des abonnements payants à des flux de bases de données d'analyse ou d'autres services d'agrégation de données. Les adversaires peuvent également acheter des informations auprès de sources moins réputées telles que le dark web ou les marchés noirs de la cybercriminalité.</t>
  </si>
  <si>
    <t>Rechercher dans les bases de données techniques ouvertes</t>
  </si>
  <si>
    <t>Les adversaires peuvent rechercher dans des bases de données techniques librement accessibles des informations sur les victimes qui peuvent être utilisées lors du ciblage. Les informations sur les victimes peuvent être disponibles dans des bases de données et des référentiels en ligne, tels que des enregistrements de domaines/certificats ainsi que des collections publiques de données/artefacts réseau collectés à partir du trafic et/ou des analyses.</t>
  </si>
  <si>
    <t>DNS/DNS passif</t>
  </si>
  <si>
    <t>Les adversaires peuvent rechercher dans les données DNS des informations sur les victimes qui peuvent être utilisées lors du ciblage. Les informations DNS peuvent inclure une variété de détails, notamment des serveurs de noms enregistrés ainsi que des enregistrements décrivant l'adressage des sous-domaines, des serveurs de messagerie et d'autres hôtes d'une cible.</t>
  </si>
  <si>
    <t>QUI EST</t>
  </si>
  <si>
    <t>Les adversaires peuvent rechercher dans les données WHOIS publiques des informations sur les victimes qui peuvent être utilisées lors du ciblage. Les données WHOIS sont stockées par les registres Internet régionaux (RIR) responsables de l'allocation et de l'attribution des ressources Internet telles que les noms de domaine. N'importe qui peut interroger les serveurs WHOIS pour obtenir des informations sur un domaine enregistré, telles que les blocs d'adresses IP attribués, les informations de contact et les serveurs de noms DNS.</t>
  </si>
  <si>
    <t>Certificats numériques</t>
  </si>
  <si>
    <t>Les adversaires peuvent rechercher dans les données de certificats numériques publics des informations sur les victimes qui peuvent être utilisées lors du ciblage. Les certificats numériques sont émis par une autorité de certification (CA) afin de vérifier de manière cryptographique l'origine du contenu signé. Ces certificats, tels que ceux utilisés pour le trafic Web chiffré (communications HTTPS SSL/TLS), contiennent des informations sur l'organisation enregistrée, telles que le nom et l'emplacement.</t>
  </si>
  <si>
    <t>CDN</t>
  </si>
  <si>
    <t>Les adversaires peuvent rechercher des données de réseau de diffusion de contenu (CDN) sur les victimes qui peuvent être utilisées lors du ciblage. Les CDN permettent à une organisation d'héberger du contenu à partir d'un ensemble de serveurs distribués et équilibrés en charge. Les CDN peuvent également permettre aux organisations de personnaliser la diffusion de contenu en fonction de la région géographique du demandeur.</t>
  </si>
  <si>
    <t>Analyser les bases de données</t>
  </si>
  <si>
    <t>Les adversaires peuvent rechercher dans les bases de données d'analyse publiques des informations sur les victimes qui peuvent être utilisées lors du ciblage. Divers services en ligne publient en permanence les résultats d'analyses/d'enquêtes sur Internet, récoltant souvent des informations telles que les adresses IP actives, les noms d'hôtes, les ports ouverts, les certificats et même les bannières de serveur.</t>
  </si>
  <si>
    <t>Rechercher des sites Web/domaines ouverts</t>
  </si>
  <si>
    <t>Les adversaires peuvent rechercher des sites Web et/ou des domaines librement disponibles pour obtenir des informations sur les victimes qui peuvent être utilisées lors du ciblage. Les informations sur les victimes peuvent être disponibles sur divers sites en ligne, tels que les réseaux sociaux, les nouveaux sites ou ceux qui hébergent des informations sur les opérations commerciales telles que les embauches ou les contrats demandés/récompensés.</t>
  </si>
  <si>
    <t>Réseaux sociaux</t>
  </si>
  <si>
    <t>Les adversaires peuvent rechercher sur les réseaux sociaux des informations sur les victimes qui peuvent être utilisées lors du ciblage. Les sites de réseaux sociaux peuvent contenir diverses informations sur une organisation victime, telles que des annonces commerciales ainsi que des informations sur les rôles, les emplacements et les intérêts du personnel.</t>
  </si>
  <si>
    <t>Moteurs de recherche</t>
  </si>
  <si>
    <t>Les adversaires peuvent utiliser les moteurs de recherche pour collecter des informations sur les victimes qui peuvent être utilisées lors du ciblage. Les services des moteurs de recherche explorent généralement les sites en ligne pour indexer le contexte et peuvent fournir aux utilisateurs une syntaxe spécialisée pour rechercher des mots-clés spécifiques ou des types de contenu spécifiques (c'est-à-dire des types de fichiers).</t>
  </si>
  <si>
    <t>Dépôts de code</t>
  </si>
  <si>
    <t>Les adversaires peuvent rechercher des informations sur les victimes dans les référentiels de code publics qui peuvent être utilisées lors du ciblage. Les victimes peuvent stocker du code dans des référentiels sur divers sites Web tiers tels que GitHub, GitLab, SourceForge et BitBucket. Les utilisateurs interagissent généralement avec les référentiels de code via une application Web ou des utilitaires de ligne de commande tels que git.</t>
  </si>
  <si>
    <t>Rechercher des sites Web appartenant à des victimes</t>
  </si>
  <si>
    <t>Acquérir l'accès</t>
  </si>
  <si>
    <t>Les adversaires peuvent acheter ou acquérir d'une autre manière un accès existant à un système ou un réseau cible. Divers services en ligne et réseaux de courtiers d'accès initiaux sont disponibles pour vendre l'accès à des systèmes précédemment compromis. Dans certains cas, des groupes d'adversaires peuvent former des partenariats pour partager des systèmes compromis entre eux.</t>
  </si>
  <si>
    <t>Acquérir des infrastructures</t>
  </si>
  <si>
    <t>Les adversaires peuvent acheter, louer, prendre en location ou obtenir une infrastructure pouvant être utilisée lors du ciblage. Il existe une grande variété d'infrastructures permettant d'héberger et d'orchestrer les opérations des adversaires. Les solutions d'infrastructure comprennent des serveurs physiques ou cloud, des domaines et des services Web tiers. Certains fournisseurs d'infrastructures proposent des périodes d'essai gratuites, permettant l'acquisition d'infrastructures à un coût limité, voire gratuit. De plus, des botnets sont disponibles à la location ou à l'achat.</t>
  </si>
  <si>
    <t>Domaines</t>
  </si>
  <si>
    <t>Les adversaires peuvent acquérir des domaines qui peuvent être utilisés lors du ciblage. Les noms de domaine sont des noms lisibles par l'homme utilisés pour représenter une ou plusieurs adresses IP. Ils peuvent être achetés ou, dans certains cas, acquis gratuitement.</t>
  </si>
  <si>
    <t>Serveur DNS</t>
  </si>
  <si>
    <t>Serveur privé virtuel</t>
  </si>
  <si>
    <t>Les adversaires peuvent louer des serveurs privés virtuels (VPS) qui peuvent être utilisés lors du ciblage. Il existe de nombreux fournisseurs de services cloud qui vendent des machines/conteneurs virtuels en tant que service. En utilisant un VPS, les adversaires peuvent rendre difficile la liaison physique des opérations à ces derniers. L'utilisation d'une infrastructure cloud peut également permettre aux adversaires de provisionner, de modifier et de fermer rapidement leur infrastructure.</t>
  </si>
  <si>
    <t>Serveur</t>
  </si>
  <si>
    <t>Services Web</t>
  </si>
  <si>
    <t>Sans serveur</t>
  </si>
  <si>
    <t>Les adversaires peuvent acheter et configurer une infrastructure cloud sans serveur, comme Cloudflare Workers, les fonctions AWS Lambda ou les scripts Google Apps, qui peuvent être utilisés lors du ciblage. En utilisant une infrastructure sans serveur, les adversaires peuvent rendre plus difficile l'attribution de l'infrastructure utilisée pendant les opérations.</t>
  </si>
  <si>
    <t>Publicité malveillante</t>
  </si>
  <si>
    <t>Les pirates peuvent acheter des publicités en ligne qui peuvent être utilisées pour diffuser des programmes malveillants aux victimes. Les publicités peuvent être achetées pour placer et positionner favorablement des artefacts à des endroits spécifiques en ligne, par exemple en les plaçant bien en évidence dans les résultats des moteurs de recherche. Ces publicités peuvent rendre plus difficile pour les utilisateurs de faire la distinction entre les résultats de recherche réels et les publicités. Les publicités achetées peuvent également cibler des publics spécifiques en utilisant les capacités du réseau publicitaire, tirant ainsi potentiellement parti de la confiance intrinsèque accordée aux moteurs de recherche et aux sites Web populaires.</t>
  </si>
  <si>
    <t>Comptes de compromis</t>
  </si>
  <si>
    <t>Comptes de réseaux sociaux</t>
  </si>
  <si>
    <t>Comptes de messagerie</t>
  </si>
  <si>
    <t>Comptes Cloud</t>
  </si>
  <si>
    <t>Infrastructures compromises</t>
  </si>
  <si>
    <t>Les adversaires peuvent compromettre l'infrastructure de tiers qui peut être utilisée lors du ciblage. Les solutions d'infrastructure comprennent des serveurs physiques ou cloud, des domaines, des périphériques réseau et des services Web et DNS tiers. Au lieu d'acheter, de louer ou de louer une infrastructure, un adversaire peut compromettre l'infrastructure et l'utiliser pendant d'autres phases du cycle de vie de l'adversaire. En outre, les adversaires peuvent compromettre de nombreuses machines pour former un botnet qu'ils peuvent exploiter.</t>
  </si>
  <si>
    <t>Les adversaires peuvent détourner des domaines et/ou des sous-domaines qui peuvent être utilisés lors du ciblage. Le détournement d'enregistrement de domaine consiste à modifier l'enregistrement d'un nom de domaine sans l'autorisation du titulaire d'origine. Les adversaires peuvent accéder à un compte de messagerie de la personne répertoriée comme propriétaire du domaine. L'adversaire peut alors prétendre avoir oublié son mot de passe afin d'apporter des modifications à l'enregistrement du domaine. D'autres possibilités incluent l'ingénierie sociale d'un service d'assistance d'enregistrement de domaine pour accéder à un compte, en profitant des lacunes du processus de renouvellement ou en compromettant un service cloud qui permet de gérer les domaines (par exemple, AWS Route53).</t>
  </si>
  <si>
    <t>Les adversaires peuvent compromettre des serveurs privés virtuels (VPS) tiers qui peuvent être utilisés lors du ciblage. Il existe de nombreux fournisseurs de services cloud qui vendent des machines/conteneurs virtuels en tant que service. Les adversaires peuvent compromettre les VPS achetés par des entités tierces. En compromettant un VPS pour l'utiliser comme infrastructure, les adversaires peuvent rendre difficile le rattachement physique des opérations à eux-mêmes.</t>
  </si>
  <si>
    <t>Les adversaires peuvent compromettre l'infrastructure cloud sans serveur, comme Cloudflare Workers, les fonctions AWS Lambda ou les scripts Google Apps, qui peuvent être utilisés lors du ciblage. En utilisant une infrastructure sans serveur, les adversaires peuvent rendre plus difficile l'attribution de l'infrastructure utilisée lors des opérations.</t>
  </si>
  <si>
    <t>Périphériques réseau</t>
  </si>
  <si>
    <t>Développer les capacités</t>
  </si>
  <si>
    <t>Les adversaires peuvent développer des capacités qui peuvent être utilisées lors du ciblage. Plutôt que d'acheter, de télécharger gratuitement ou de voler des capacités, les adversaires peuvent développer leurs propres capacités en interne. Il s'agit du processus d'identification des besoins de développement et de création de solutions telles que des logiciels malveillants, des exploits et des certificats auto-signés. Les adversaires peuvent développer des capacités pour soutenir leurs opérations tout au long des nombreuses phases du cycle de vie de l'adversaire.</t>
  </si>
  <si>
    <t>Logiciels malveillants</t>
  </si>
  <si>
    <t>Les adversaires peuvent développer des logiciels malveillants et des composants de logiciels malveillants qui peuvent être utilisés lors du ciblage. La création de logiciels malveillants peut inclure le développement de charges utiles, d'injecteurs, d'outils post-compromission, de portes dérobées (y compris des images de porte dérobée), de compresseurs, de protocoles C2 et la création de supports amovibles infectés. Les adversaires peuvent développer des logiciels malveillants pour soutenir leurs opérations, créant ainsi un moyen de maintenir le contrôle des machines distantes, d'échapper aux défenses et d'exécuter des comportements post-compromission.</t>
  </si>
  <si>
    <t>Certificats de signature de code</t>
  </si>
  <si>
    <t>Les adversaires peuvent créer des certificats de signature de code auto-signés qui peuvent être utilisés lors du ciblage. La signature de code est le processus de signature numérique des exécutables et des scripts pour confirmer l'auteur du logiciel et garantir que le code n'a pas été modifié ou corrompu. La signature de code fournit un niveau d'authenticité pour un programme de la part du développeur et une garantie que le programme n'a pas été falsifié. Les utilisateurs et/ou les outils de sécurité peuvent faire davantage confiance à un morceau de code signé qu'à un morceau de code non signé, même s'ils ne savent pas qui a émis le certificat ou qui en est l'auteur.</t>
  </si>
  <si>
    <t>Les adversaires peuvent créer des certificats SSL/TLS auto-signés qui peuvent être utilisés lors du ciblage. Les certificats SSL/TLS sont conçus pour inspirer la confiance. Ils incluent des informations sur la clé, des informations sur l'identité de son propriétaire et la signature numérique d'une entité qui a vérifié que le contenu du certificat est correct. Si la signature est valide et que la personne qui examine le certificat fait confiance au signataire, elle sait alors qu'elle peut utiliser cette clé pour communiquer avec son propriétaire. Dans le cas de l'auto-signature, les certificats numériques n'auront pas l'élément de confiance associé à la signature d'une autorité de certification tierce.</t>
  </si>
  <si>
    <t>Créer des comptes</t>
  </si>
  <si>
    <t>Les adversaires peuvent créer et entretenir des comptes avec des services qui peuvent être utilisés lors du ciblage. Les adversaires peuvent créer des comptes qui peuvent être utilisés pour construire une identité afin de faire avancer les opérations. Le développement d'une identité consiste à développer des informations publiques, une présence, un historique et des affiliations appropriées. Ce développement pourrait être appliqué aux médias sociaux, aux sites Web ou à d'autres informations accessibles au public qui pourraient être référencées et examinées pour en déterminer la légitimité au cours d'une opération utilisant cette identité ou cette identité.</t>
  </si>
  <si>
    <t>Les adversaires peuvent créer et entretenir des comptes sur les réseaux sociaux qui peuvent être utilisés lors du ciblage. Les adversaires peuvent créer des comptes sur les réseaux sociaux qui peuvent être utilisés pour créer une personnalité afin de poursuivre les opérations. Le développement d'une personnalité consiste à développer des informations publiques, une présence, un historique et des affiliations appropriées.</t>
  </si>
  <si>
    <t>Obtenir des capacités</t>
  </si>
  <si>
    <t>Les adversaires peuvent acheter et/ou voler des capacités qui peuvent être utilisées lors du ciblage. Plutôt que de développer leurs propres capacités en interne, les adversaires peuvent les acheter, les télécharger librement ou les voler. Les activités peuvent inclure l'acquisition de logiciels malveillants, de logiciels (y compris de licences), d'exploits, de certificats et d'informations relatives aux vulnérabilités. Les adversaires peuvent obtenir des capacités pour soutenir leurs opérations tout au long de nombreuses phases du cycle de vie de l'adversaire.</t>
  </si>
  <si>
    <t>Les adversaires peuvent acheter, voler ou télécharger des programmes malveillants qui peuvent être utilisés lors du ciblage. Les logiciels malveillants peuvent inclure des charges utiles, des droppers, des outils post-compromission, des portes dérobées, des packers et des protocoles C2. Les adversaires peuvent acquérir des programmes malveillants pour soutenir leurs opérations, obtenir un moyen de garder le contrôle des machines distantes, d'échapper aux défenses et d'exécuter des comportements post-compromission.</t>
  </si>
  <si>
    <t>Outil</t>
  </si>
  <si>
    <t>Les adversaires peuvent acheter et/ou voler des certificats de signature de code qui peuvent être utilisés lors du ciblage. La signature de code est le processus de signature numérique des exécutables et des scripts pour confirmer l'auteur du logiciel et garantir que le code n'a pas été altéré ou corrompu. La signature de code fournit un niveau d'authenticité pour un programme de la part du développeur et une garantie que le programme n'a pas été altéré. Les utilisateurs et/ou les outils de sécurité peuvent faire davantage confiance à un morceau de code signé qu'à un morceau de code non signé, même s'ils ne savent pas qui a émis le certificat ou qui en est l'auteur.</t>
  </si>
  <si>
    <t>Les adversaires peuvent acheter et/ou voler des certificats SSL/TLS qui peuvent être utilisés lors du ciblage. Les certificats SSL/TLS sont conçus pour inspirer la confiance. Ils comprennent des informations sur la clé, des informations sur l'identité de son propriétaire et la signature numérique d'une entité qui a vérifié que le contenu du certificat est correct. Si la signature est valide et que la personne qui examine le certificat fait confiance au signataire, elle sait alors qu'elle peut utiliser cette clé pour communiquer avec son propriétaire.</t>
  </si>
  <si>
    <t>Les adversaires peuvent acheter, voler ou télécharger des exploits qui peuvent être utilisés lors du ciblage. Un exploit tire parti d'un bug ou d'une vulnérabilité afin de provoquer un comportement inattendu ou non prévu sur le matériel ou le logiciel d'un ordinateur. Plutôt que de développer ses propres exploits, un adversaire peut trouver/modifier des exploits en ligne ou les acheter auprès de fournisseurs d'exploits.</t>
  </si>
  <si>
    <t>Vulnérabilités</t>
  </si>
  <si>
    <t>Les adversaires peuvent obtenir des informations sur les vulnérabilités qui peuvent être utilisées lors du ciblage. Une vulnérabilité est une faiblesse du matériel informatique ou du logiciel qui peut potentiellement être exploitée par un adversaire pour provoquer un comportement inattendu ou non prévu. Les adversaires peuvent trouver des informations sur les vulnérabilités en effectuant des recherches dans des bases de données ouvertes ou en accédant à des bases de données de vulnérabilités fermées.</t>
  </si>
  <si>
    <t>Intelligence artificielle</t>
  </si>
  <si>
    <t>Capacités de la scène</t>
  </si>
  <si>
    <t>Télécharger des logiciels malveillants</t>
  </si>
  <si>
    <t>Outil de téléchargement</t>
  </si>
  <si>
    <t>Installer un certificat numérique</t>
  </si>
  <si>
    <t>Les adversaires peuvent installer des certificats SSL/TLS qui peuvent être utilisés lors du ciblage. Les certificats SSL/TLS sont des fichiers qui peuvent être installés sur des serveurs pour permettre des communications sécurisées entre les systèmes. Les certificats numériques incluent des informations sur la clé, des informations sur l'identité de son propriétaire et la signature numérique d'une entité qui a vérifié que le contenu du certificat est correct. Si la signature est valide et que la personne qui examine le certificat fait confiance au signataire, elle sait alors qu'elle peut utiliser cette clé pour communiquer en toute sécurité avec son propriétaire. Les certificats peuvent être téléchargés sur un serveur, puis le serveur peut être configuré pour utiliser le certificat afin de permettre une communication cryptée avec lui.</t>
  </si>
  <si>
    <t>Cible de passage</t>
  </si>
  <si>
    <t>Lien cible</t>
  </si>
  <si>
    <t>Empoisonnement SEO</t>
  </si>
  <si>
    <t>Les adversaires peuvent empoisonner les mécanismes qui influencent l'optimisation des moteurs de recherche (SEO) pour attirer davantage de capacités mises en scène vers des victimes potentielles. Les moteurs de recherche affichent généralement les résultats aux utilisateurs en fonction des publicités achetées ainsi que du classement/score/réputation du site calculé par leurs robots d'exploration et leurs algorithmes.</t>
  </si>
  <si>
    <t>Les adversaires peuvent recueillir des informations sur les hôtes de la victime qui peuvent être utilisées lors du ciblage. Les informations sur les hôtes peuvent inclure une variété de détails, y compris des données administratives (ex : nom, IP attribuée, fonctionnalités, etc.) ainsi que des spécificités concernant sa configuration (ex : système d'exploitation, langue, etc.).</t>
  </si>
  <si>
    <t>Les adversaires peuvent recueillir des informations sur le logiciel hôte de la victime qui peuvent être utilisées lors du ciblage. Les informations sur les logiciels installés peuvent inclure divers détails tels que les types et les versions sur des hôtes spécifiques, ainsi que la présence de composants supplémentaires qui peuvent indiquer des protections défensives supplémentaires (ex : antivirus, SIEM, etc.).</t>
  </si>
  <si>
    <t>Les adversaires peuvent recueillir des informations sur le micrologiciel de l'hôte de la victime qui peuvent être utilisées lors du ciblage. Les informations sur le micrologiciel de l'hôte peuvent inclure une variété de détails tels que le type et les versions sur des hôtes spécifiques, qui peuvent être utilisés pour déduire plus d'informations sur les hôtes dans l'environnement (par exemple : configuration, objectif, âge/niveau de correctif, etc.).</t>
  </si>
  <si>
    <t>Les adversaires peuvent recueillir des informations sur les configurations client de la victime qui peuvent être utilisées lors du ciblage. Les informations sur les configurations client peuvent inclure divers détails et paramètres, notamment le système d'exploitation/la version, la virtualisation, l'architecture (ex : 32 ou 64 bits), la langue et/ou le fuseau horaire.</t>
  </si>
  <si>
    <t>Les adversaires peuvent recueillir des informations sur le ou les domaines réseau de la victime qui peuvent être utilisées lors du ciblage. Les informations sur les domaines et leurs propriétés peuvent inclure une variété de détails, notamment le ou les domaines appartenant à la victime ainsi que des données administratives (ex : nom, registraire, etc.) et des informations plus directement exploitables telles que les contacts (adresses e-mail et numéros de téléphone), les adresses professionnelles et les serveurs de noms.</t>
  </si>
  <si>
    <t>Les adversaires peuvent recueillir des informations sur les dépendances de confiance du réseau de la victime qui peuvent être utilisées lors du ciblage. Les informations sur les relations de confiance du réseau peuvent inclure divers détails, notamment des organisations/domaines secondaires ou tiers (par exemple : fournisseurs de services gérés, sous-traitants, etc.) qui ont un accès réseau connecté (et potentiellement élevé).</t>
  </si>
  <si>
    <t>Les adversaires peuvent recueillir des informations sur les relations commerciales de la victime qui peuvent être utilisées lors du ciblage. Les informations sur les relations commerciales d'une organisation peuvent inclure divers détails, notamment des organisations/domaines secondaires ou tiers (par exemple : fournisseurs de services gérés, sous-traitants, etc.) qui ont un accès réseau connecté (et potentiellement élevé). Ces informations peuvent également révéler les chaînes d'approvisionnement et les voies d'expédition des ressources matérielles et logicielles de la victime.</t>
  </si>
  <si>
    <t>Les adversaires peuvent envoyer des messages de phishing pour obtenir des informations sensibles qui peuvent être utilisées lors du ciblage. Le phishing pour obtenir des informations est une tentative visant à tromper les cibles afin qu'elles divulguent des informations, souvent des identifiants ou d'autres informations exploitables. Le phishing pour obtenir des informations diffère du phishing dans la mesure où l'objectif est de collecter des données auprès de la victime plutôt que d'exécuter un code malveillant.</t>
  </si>
  <si>
    <t>Les adversaires peuvent utiliser les communications vocales pour obtenir des informations sensibles qui peuvent être utilisées lors du ciblage. L'hameçonnage ciblé consiste à tromper les cibles afin qu'elles divulguent des informations, souvent des identifiants ou d'autres informations exploitables. L'hameçonnage ciblé implique souvent des techniques d'ingénierie sociale, telles que se faire passer pour une source ayant une raison de collecter des informations (par exemple, usurpation d'identité ) et/ou créer un sentiment d'urgence ou d'alarme chez le destinataire.</t>
  </si>
  <si>
    <t>Les adversaires peuvent rechercher des informations sur les sites Web appartenant à la victime qui peuvent être utilisées lors du ciblage. Les sites Web appartenant à la victime peuvent contenir divers détails, notamment les noms des services/divisions, les emplacements physiques et les données sur les employés clés tels que les noms, les rôles et les coordonnées (par exemple, les adresses e-mail ). Ces sites peuvent également contenir des détails mettant en évidence les opérations et les relations commerciales.</t>
  </si>
  <si>
    <t>Développement des ressources</t>
  </si>
  <si>
    <t>Les adversaires peuvent configurer leurs propres serveurs DNS (Domain Name System) qui peuvent être utilisés lors du ciblage. Au cours de l'activité post-compromission, les adversaires peuvent utiliser le trafic DNS pour diverses tâches, notamment pour le commandement et le contrôle (ex : protocole de couche d'application ). Au lieu de détourner les serveurs DNS existants, les adversaires peuvent choisir de configurer et d'exécuter leurs propres serveurs DNS pour soutenir les opérations.</t>
  </si>
  <si>
    <t>Les adversaires peuvent acheter, louer ou louer un réseau de systèmes compromis qui peuvent être utilisés lors du ciblage. Un botnet est un réseau de systèmes compromis qui peuvent être chargés d'effectuer des tâches coordonnées. Les adversaires peuvent acheter un abonnement pour utiliser un botnet existant auprès d'un service de démarrage/stress. Avec un botnet à leur disposition, les adversaires peuvent effectuer des activités de suivi telles que le phishing à grande échelle ou le déni de service distribué (DDoS).</t>
  </si>
  <si>
    <t>Les adversaires peuvent compromettre des comptes avec des services qui peuvent être utilisés lors du ciblage. Pour les opérations intégrant l'ingénierie sociale, l'utilisation d'un personnage en ligne peut être importante. Plutôt que de créer et de cultiver des comptes (c'est-à-dire d'établir des comptes ), les adversaires peuvent compromettre des comptes existants. L'utilisation d'un personnage existant peut engendrer un niveau de confiance chez une victime potentielle si elle a une relation ou une connaissance du personnage compromis.</t>
  </si>
  <si>
    <t>Les adversaires peuvent compromettre des comptes de réseaux sociaux qui peuvent être utilisés lors du ciblage. Pour les opérations intégrant l'ingénierie sociale, l'utilisation d'un personnage en ligne peut être importante. Plutôt que de créer et de cultiver des profils de réseaux sociaux (c'est-à-dire des comptes de réseaux sociaux ), les adversaires peuvent compromettre des comptes de réseaux sociaux existants. L'utilisation d'un personnage existant peut engendrer un niveau de confiance chez une victime potentielle si elle a une relation ou une connaissance du personnage compromis.</t>
  </si>
  <si>
    <t>Les adversaires peuvent compromettre des serveurs DNS tiers qui peuvent être utilisés lors du ciblage. Au cours de l'activité post-compromission, les adversaires peuvent utiliser le trafic DNS pour diverses tâches, notamment pour le commandement et le contrôle (ex : protocole de couche d'application ). Au lieu de configurer leurs propres serveurs DNS, les adversaires peuvent compromettre des serveurs DNS tiers pour soutenir les opérations.</t>
  </si>
  <si>
    <t>Les adversaires peuvent compromettre de nombreux systèmes tiers pour former un botnet qui peut être utilisé lors d'un ciblage. Un botnet est un réseau de systèmes compromis qui peuvent être chargés d'effectuer des tâches coordonnées. Au lieu d'acheter ou de louer un botnet auprès d'un service de démarrage/de stress, les adversaires peuvent créer leur propre botnet en compromettant de nombreux systèmes tiers. Les adversaires peuvent également prendre le contrôle d'un botnet existant, par exemple en redirigeant les bots vers des serveurs C2 contrôlés par l'adversaire. Avec un botnet à leur disposition, les adversaires peuvent effectuer des activités de suivi telles que le phishing à grande échelle ou le déni de service distribué (DDoS).</t>
  </si>
  <si>
    <t>Les adversaires peuvent compromettre des périphériques réseau tiers qui peuvent être utilisés lors du ciblage. Les périphériques réseau, tels que les routeurs de petites entreprises/bureaux à domicile (SOHO), peuvent être compromis lorsque l'objectif ultime de l'adversaire n'est pas d'accéder initialement à cet environnement, mais plutôt d'exploiter ces périphériques pour prendre en charge un ciblage supplémentaire.</t>
  </si>
  <si>
    <t>Les adversaires peuvent développer des exploits qui peuvent être utilisés lors du ciblage. Un exploit tire parti d'un bug ou d'une vulnérabilité afin de provoquer un comportement inattendu ou non prévu sur le matériel ou le logiciel de l'ordinateur. Plutôt que de trouver/modifier des exploits en ligne ou de les acheter auprès de fournisseurs d'exploits, un adversaire peut développer ses propres exploits. Les adversaires peuvent utiliser les informations acquises via les vulnérabilités pour concentrer leurs efforts de développement d'exploits. Dans le cadre du processus de développement d'exploits, les adversaires peuvent découvrir des vulnérabilités exploitables grâce à des méthodes telles que le fuzzing et l'analyse des correctifs.</t>
  </si>
  <si>
    <t>Les adversaires peuvent avoir accès à des outils d'intelligence artificielle générative, tels que les grands modèles de langage (LLM), pour faciliter diverses techniques de ciblage. Ces outils peuvent être utilisés pour informer, renforcer et permettre une variété de tâches malveillantes, notamment la conduite de reconnaissance , la création de scripts de base, l'assistance à l'ingénierie sociale et même le développement de charges utiles.</t>
  </si>
  <si>
    <t>Les adversaires peuvent télécharger des programmes malveillants sur une infrastructure contrôlée par un tiers ou un adversaire pour les rendre accessibles lors du ciblage. Les logiciels malveillants peuvent inclure des charges utiles, des droppers, des outils post-compromission, des portes dérobées et divers autres contenus malveillants. Les adversaires peuvent télécharger des programmes malveillants pour soutenir leurs opérations, par exemple en mettant une charge utile à la disposition d'un réseau victime pour permettre le transfert d'outils Ingress en la plaçant sur un serveur Web accessible sur Internet.</t>
  </si>
  <si>
    <t>Accès initial</t>
  </si>
  <si>
    <t>Injection de contenu</t>
  </si>
  <si>
    <t>Compromis au volant</t>
  </si>
  <si>
    <t>Les adversaires peuvent accéder à un système par l'intermédiaire d'un utilisateur visitant un site Web au cours d'une navigation normale. Avec cette technique, le navigateur Web de l'utilisateur est généralement ciblé pour l'exploitation, mais les adversaires peuvent également utiliser des sites Web compromis pour un comportement non exploitable, comme l'acquisition d' un jeton d'accès à l'application .</t>
  </si>
  <si>
    <t>Exploiter une application publique</t>
  </si>
  <si>
    <t>Les pirates peuvent tenter d'exploiter une faiblesse d'un hôte ou d'un système connecté à Internet pour accéder initialement à un réseau. La faiblesse du système peut être un bug logiciel, un problème temporaire ou une mauvaise configuration.</t>
  </si>
  <si>
    <t>Services externes à distance</t>
  </si>
  <si>
    <t>Ajouts de matériel</t>
  </si>
  <si>
    <t>Les adversaires peuvent introduire des accessoires informatiques, du matériel réseau ou d'autres périphériques informatiques dans un système ou un réseau qui peuvent être utilisés comme vecteur pour obtenir un accès. Plutôt que de simplement connecter et distribuer des charges utiles via un stockage amovible (c'est-à-dire la réplication via un support amovible ), des ajouts matériels plus robustes peuvent être utilisés pour introduire de nouvelles fonctionnalités et/ou caractéristiques dans un système qui peuvent ensuite être exploitées de manière abusive.</t>
  </si>
  <si>
    <t>Hameçonnage</t>
  </si>
  <si>
    <t>Les adversaires peuvent envoyer des messages de phishing pour accéder aux systèmes des victimes. Toutes les formes de phishing sont des attaques d'ingénierie sociale par voie électronique. Le phishing peut être ciblé, ce que l'on appelle le spearphishing. Dans ce cas, l'adversaire cible une personne, une entreprise ou un secteur spécifique. Plus généralement, les adversaires peuvent mener des attaques de phishing non ciblées, par exemple dans le cadre de campagnes de spam de logiciels malveillants en masse.</t>
  </si>
  <si>
    <t>Les adversaires peuvent envoyer des e-mails de spearphishing avec une pièce jointe malveillante pour tenter d'accéder aux systèmes des victimes. La pièce jointe de spearphishing est une variante spécifique du spearphishing. La pièce jointe de spearphishing diffère des autres formes de spearphishing dans la mesure où elle utilise un logiciel malveillant joint à un e-mail. Toutes les formes de spearphishing sont des techniques d'ingénierie sociale diffusées par voie électronique et ciblant une personne, une entreprise ou un secteur spécifique. Dans ce scénario, les adversaires joignent un fichier à l'e-mail de spearphishing et comptent généralement sur l'exécution de l'utilisateur pour obtenir l'exécution. Le spearphishing peut également impliquer des techniques d'ingénierie sociale, telles que se faire passer pour une source fiable.</t>
  </si>
  <si>
    <t>Les adversaires peuvent envoyer des e-mails de spearphishing contenant un lien malveillant pour tenter d'accéder aux systèmes des victimes. Le spearphishing avec un lien est une variante spécifique du spearphishing. Il diffère des autres formes de spearphishing en ce qu'il utilise des liens pour télécharger des logiciels malveillants contenus dans un e-mail, au lieu de joindre des fichiers malveillants à l'e-mail lui-même, afin d'éviter les défenses qui peuvent inspecter les pièces jointes. Le spearphishing peut également impliquer des techniques d'ingénierie sociale, comme se faire passer pour une source fiable.</t>
  </si>
  <si>
    <t>Hameçonnage ciblé via le service</t>
  </si>
  <si>
    <t>Les adversaires peuvent envoyer des messages de spearphishing via des services tiers pour tenter d'accéder aux systèmes des victimes. Le spearphishing via un service est une variante spécifique du spearphishing. Il diffère des autres formes de spearphishing en ce qu'il utilise des services tiers plutôt que directement via les canaux de messagerie d'entreprise.</t>
  </si>
  <si>
    <t>Les adversaires peuvent utiliser les communications vocales pour accéder aux systèmes des victimes. Le spearphishing vocal est une variante spécifique du spearphishing. Il diffère des autres formes de spearphishing en ce qu'il consiste à manipuler un utilisateur pour qu'il donne accès aux systèmes par le biais d'un appel téléphonique ou d'autres formes de communication vocale. Le spearphishing implique souvent des techniques d'ingénierie sociale, telles que se faire passer pour une source fiable (par exemple, usurpation d'identité ) et/ou créer un sentiment d'urgence ou d'alarme chez le destinataire.</t>
  </si>
  <si>
    <t>Réplication via un support amovible</t>
  </si>
  <si>
    <t>Les pirates peuvent pénétrer dans les systèmes, éventuellement ceux qui se trouvent sur des réseaux déconnectés ou isolés, en copiant des programmes malveillants sur des supports amovibles et en profitant des fonctions d'exécution automatique lorsque le support est inséré dans un système et s'exécute. Dans le cas d'un mouvement latéral, cela peut se produire en modifiant des fichiers exécutables stockés sur des supports amovibles ou en copiant des programmes malveillants et en les renommant pour qu'ils ressemblent à un fichier légitime afin d'inciter les utilisateurs à l'exécuter sur un système distinct. Dans le cas d'un accès initial, cela peut se produire par une manipulation manuelle du support, une modification des systèmes utilisés pour formater initialement le support ou une modification du micrologiciel du support lui-même.</t>
  </si>
  <si>
    <t>Compromission de la chaîne d'approvisionnement</t>
  </si>
  <si>
    <t>Les adversaires peuvent manipuler les produits ou les mécanismes de livraison des produits avant leur réception par le consommateur final dans le but de compromettre les données ou le système.</t>
  </si>
  <si>
    <t>Compromettre les dépendances logicielles et les outils de développement</t>
  </si>
  <si>
    <t>Les pirates peuvent manipuler les dépendances logicielles et les outils de développement avant leur réception par un consommateur final dans le but de compromettre les données ou le système. Les applications dépendent souvent de logiciels externes pour fonctionner correctement. Les projets open source populaires qui sont utilisés comme dépendances dans de nombreuses applications peuvent être ciblés comme moyen d'ajouter du code malveillant aux utilisateurs de la dépendance.</t>
  </si>
  <si>
    <t>Compromettre la chaîne d'approvisionnement des logiciels</t>
  </si>
  <si>
    <t>Les pirates peuvent manipuler les logiciels d'application avant leur réception par le consommateur final dans le but de compromettre les données ou le système. La compromission de la chaîne d'approvisionnement d'un logiciel peut se produire de plusieurs manières, notamment par la manipulation du code source de l'application, la manipulation du mécanisme de mise à jour/distribution de ce logiciel ou le remplacement des versions compilées par une version modifiée.</t>
  </si>
  <si>
    <t>Compromettre la chaîne d'approvisionnement en matériel</t>
  </si>
  <si>
    <t>Les pirates informatiques peuvent manipuler les composants matériels des produits avant leur réception par le consommateur final dans le but de compromettre les données ou le système. En modifiant le matériel ou le micrologiciel de la chaîne d'approvisionnement, les pirates informatiques peuvent insérer une porte dérobée dans les réseaux des consommateurs, ce qui peut être difficile à détecter et donner à l'adversaire un degré élevé de contrôle sur le système. Les portes dérobées matérielles peuvent être insérées dans divers appareils, tels que des serveurs, des postes de travail, une infrastructure réseau ou des périphériques.</t>
  </si>
  <si>
    <t>Relation de confiance</t>
  </si>
  <si>
    <t>Les adversaires peuvent pénétrer dans les systèmes des organisations qui ont accès aux victimes visées ou en tirer parti d'une autre manière. L'accès via une relation avec un tiers de confiance constitue un abus d'une connexion existante qui peut ne pas être protégée ou faire l'objet d'un examen moins approfondi que les mécanismes standards d'accès à un réseau.</t>
  </si>
  <si>
    <t>Comptes valides</t>
  </si>
  <si>
    <t>Les adversaires peuvent obtenir et abuser des identifiants de comptes existants pour obtenir un accès initial, une persistance, une escalade de privilèges ou une évasion de défense. Les identifiants compromis peuvent être utilisés pour contourner les contrôles d'accès placés sur diverses ressources des systèmes au sein du réseau et peuvent même être utilisés pour un accès persistant à des systèmes distants et à des services disponibles en externe, tels que les VPN, Outlook Web Access, les périphériques réseau et le bureau à distance. Les identifiants compromis peuvent également accorder à un adversaire des privilèges accrus sur des systèmes spécifiques ou l'accès à des zones restreintes du réseau. Les adversaires peuvent choisir de ne pas utiliser de logiciels malveillants ou d'outils en conjonction avec l'accès légitime que ces identifiants fournissent pour rendre plus difficile la détection de leur présence.</t>
  </si>
  <si>
    <t>Comptes par défaut</t>
  </si>
  <si>
    <t>Les adversaires peuvent obtenir et abuser des informations d'identification d'un compte par défaut afin d'obtenir un accès initial, une persistance, une escalade de privilèges ou une évasion de défense. Les comptes par défaut sont ceux qui sont intégrés à un système d'exploitation, tels que les comptes Invité ou Administrateur sur les systèmes Windows. Les comptes par défaut incluent également les comptes par défaut définis par l'usine/le fournisseur sur d'autres types de systèmes, logiciels ou appareils, y compris le compte d'utilisateur root dans AWS et le compte de service par défaut dans Kubernetes.</t>
  </si>
  <si>
    <t>Comptes de domaine</t>
  </si>
  <si>
    <t>Les adversaires peuvent obtenir et abuser des informations d'identification d'un compte de domaine afin d'obtenir un accès initial, une persistance, une escalade de privilèges ou une évasion de défense. Les comptes de domaine sont ceux gérés par les services de domaine Active Directory où l'accès et les autorisations sont configurés sur les systèmes et services qui font partie de ce domaine. Les comptes de domaine peuvent couvrir les utilisateurs, les administrateurs et les services.</t>
  </si>
  <si>
    <t>Comptes locaux</t>
  </si>
  <si>
    <t>Les adversaires peuvent obtenir et abuser des informations d'identification d'un compte local pour obtenir un accès initial, une persistance, une escalade de privilèges ou une évasion de défense. Les comptes locaux sont ceux configurés par une organisation pour être utilisés par les utilisateurs, l'assistance à distance, les services ou pour l'administration sur un système ou un service unique.</t>
  </si>
  <si>
    <t>Les comptes valides dans les environnements cloud peuvent permettre aux adversaires d'effectuer des actions pour obtenir un accès initial, une persistance, une escalade des privilèges ou une évasion de défense. Les comptes cloud sont ceux créés et configurés par une organisation pour être utilisés par les utilisateurs, l'assistance à distance, les services ou pour l'administration des ressources au sein d'un fournisseur de services cloud ou d'une application SaaS. Les comptes cloud peuvent exister uniquement dans le cloud ; ils peuvent également être joints de manière hybride entre les systèmes sur site et le cloud via la synchronisation ou la fédération avec d'autres sources d'identité telles que Windows Active Directory.</t>
  </si>
  <si>
    <t>Exécution</t>
  </si>
  <si>
    <t>Commande d'administration du cloud</t>
  </si>
  <si>
    <t>Les adversaires peuvent exploiter les services de gestion cloud pour exécuter des commandes au sein de machines virtuelles. Des ressources telles qu'AWS Systems Manager, Azure RunCommand et Runbooks permettent aux utilisateurs d'exécuter des scripts à distance dans des machines virtuelles en exploitant les agents de machines virtuelles installés.</t>
  </si>
  <si>
    <t>Interpréteur de commandes et de scripts</t>
  </si>
  <si>
    <t>Les adversaires peuvent abuser d'AppleScript pour l'exécution. AppleScript est un langage de script macOS conçu pour contrôler les applications et les parties du système d'exploitation via des messages inter-applications appelés AppleEvents. Ces messages AppleEvent peuvent être envoyés indépendamment ou facilement scriptés avec AppleScript. Ces événements peuvent localiser les fenêtres ouvertes, envoyer des frappes de touches et interagir avec presque toutes les applications ouvertes localement ou à distance.</t>
  </si>
  <si>
    <t>Interface de commande Windows</t>
  </si>
  <si>
    <t>Shell Unix</t>
  </si>
  <si>
    <t>Les adversaires peuvent abuser des commandes et des scripts du shell Unix pour les exécuter. Les shells Unix sont l'invite de commande principale sur les systèmes Linux et macOS, bien que de nombreuses variantes du shell Unix existent (par exemple sh, bash, zsh, etc.) en fonction du système d'exploitation ou de la distribution spécifique. Les shells Unix peuvent contrôler tous les aspects d'un système, certaines commandes nécessitant des privilèges élevés.</t>
  </si>
  <si>
    <t>Les adversaires peuvent abuser de diverses implémentations de JavaScript pour l'exécution. JavaScript (JS) est un langage de script indépendant de la plate-forme (compilé juste à temps au moment de l'exécution) généralement associé aux scripts des pages Web, bien que JS puisse être exécuté dans des environnements d'exécution en dehors du navigateur.</t>
  </si>
  <si>
    <t>Interface de ligne de commande du périphérique réseau</t>
  </si>
  <si>
    <t>Les adversaires peuvent exploiter les scripts ou les interpréteurs de ligne de commande (CLI) intégrés aux périphériques réseau pour exécuter des commandes et des charges utiles malveillantes. La CLI est le principal moyen par lequel les utilisateurs et les administrateurs interagissent avec le périphérique afin d'afficher les informations système, de modifier les opérations du périphérique ou d'exécuter des fonctions de diagnostic et d'administration. Les CLI contiennent généralement différents niveaux d'autorisation requis pour différentes commandes.</t>
  </si>
  <si>
    <t>API Cloud</t>
  </si>
  <si>
    <t>AutoHotKey et AutoIT</t>
  </si>
  <si>
    <t>Les adversaires peuvent exécuter des commandes et effectuer des tâches malveillantes à l'aide des scripts d'automatisation AutoIT et AutoHotKey. AutoIT et AutoHotkey (AHK) sont des langages de script qui permettent aux utilisateurs d'automatiser les tâches Windows. Ces scripts d'automatisation peuvent être utilisés pour effectuer une grande variété d'actions, telles que cliquer sur des boutons, saisir du texte et ouvrir et fermer des programmes.</t>
  </si>
  <si>
    <t>Commande d'administration des conteneurs</t>
  </si>
  <si>
    <t>Les adversaires peuvent abuser d'un service d'administration de conteneur pour exécuter des commandes au sein d'un conteneur. Un service d'administration de conteneur tel que le démon Docker, le serveur API Kubernetes ou le kubelet peut permettre la gestion à distance des conteneurs au sein d'un environnement.</t>
  </si>
  <si>
    <t>Déployer le conteneur</t>
  </si>
  <si>
    <t>Les adversaires peuvent déployer un conteneur dans un environnement pour faciliter l'exécution ou échapper aux défenses. Dans certains cas, les adversaires peuvent déployer un nouveau conteneur pour exécuter des processus associés à une image ou à un déploiement particulier, tels que des processus qui exécutent ou téléchargent des logiciels malveillants. Dans d'autres cas, un adversaire peut déployer un nouveau conteneur configuré sans règles de réseau, limitations d'utilisateur, etc. pour contourner les défenses existantes dans l'environnement. Dans les environnements Kubernetes, un adversaire peut tenter de déployer un conteneur privilégié ou vulnérable dans un nœud spécifique afin de s'échapper vers l'hôte et d'accéder à d'autres conteneurs exécutés sur le nœud.</t>
  </si>
  <si>
    <t>Exploitation pour l'exécution du client</t>
  </si>
  <si>
    <t>Les pirates informatiques peuvent exploiter les vulnérabilités logicielles des applications clientes pour exécuter du code. Les logiciels peuvent être vulnérables en raison de pratiques de codage non sécurisées qui peuvent conduire à un comportement imprévu. Les pirates informatiques peuvent tirer parti de certaines vulnérabilités par le biais d'une exploitation ciblée dans le but d'exécuter du code arbitraire. Souvent, les exploits les plus précieux d'une boîte à outils offensive sont ceux qui peuvent être utilisés pour obtenir l'exécution de code sur un système distant, car ils peuvent être utilisés pour accéder à ce système. Les utilisateurs s'attendent à voir des fichiers liés aux applications qu'ils utilisent habituellement pour travailler, ils constituent donc une cible utile pour la recherche et le développement d'exploits en raison de leur grande utilité.</t>
  </si>
  <si>
    <t>Communication inter-processus</t>
  </si>
  <si>
    <t>Les adversaires peuvent abuser des mécanismes de communication interprocessus (IPC) pour l'exécution de code local ou de commandes. L'IPC est généralement utilisé par les processus pour partager des données, communiquer entre eux ou synchroniser l'exécution. L'IPC est également couramment utilisé pour éviter des situations telles que les blocages, qui se produisent lorsque les processus sont bloqués dans un modèle d'attente cyclique.</t>
  </si>
  <si>
    <t>Modèle d'objet de composant</t>
  </si>
  <si>
    <t>Échange de données dynamique</t>
  </si>
  <si>
    <t>Les adversaires peuvent utiliser Windows Dynamic Data Exchange (DDE) pour exécuter des commandes arbitraires. DDE est un protocole client-serveur pour la communication interprocessus (IPC) ponctuelle et/ou continue entre applications. Une fois la liaison établie, les applications peuvent échanger de manière autonome des transactions composées de chaînes, de liaisons de données chaudes (notifications lorsqu'un élément de données change), de liaisons de données chaudes (duplications de modifications apportées à un élément de données) et de demandes d'exécution de commandes.</t>
  </si>
  <si>
    <t>Services XPC</t>
  </si>
  <si>
    <t>API native</t>
  </si>
  <si>
    <t>Les adversaires peuvent interagir avec l'interface de programmation d'application (API) native du système d'exploitation pour exécuter des comportements. Les API natives fournissent un moyen contrôlé d'appeler des services OS de bas niveau au sein du noyau, tels que ceux impliquant le matériel/les périphériques, la mémoire et les processus. Ces API natives sont exploitées par le système d'exploitation lors du démarrage du système (lorsque les autres composants du système ne sont pas encore initialisés) ainsi que pour effectuer des tâches et des requêtes lors d'opérations de routine.</t>
  </si>
  <si>
    <t>Tâche/travail planifié</t>
  </si>
  <si>
    <t>Les adversaires peuvent abuser de la fonctionnalité de planification des tâches pour faciliter l'exécution initiale ou récurrente de code malveillant. Des utilitaires existent dans tous les principaux systèmes d'exploitation pour planifier l'exécution de programmes ou de scripts à une date et une heure spécifiées. Une tâche peut également être planifiée sur un système distant, à condition que l'authentification appropriée soit respectée (ex : RPC et partage de fichiers et d'imprimantes dans les environnements Windows). La planification d'une tâche sur un système distant peut généralement nécessiter d'être membre d'un groupe administrateur ou d'un autre groupe privilégié sur le système distant.</t>
  </si>
  <si>
    <t>À</t>
  </si>
  <si>
    <t>Tâche planifiée</t>
  </si>
  <si>
    <t>Minuteries Systemd</t>
  </si>
  <si>
    <t>Tâche d'orchestration de conteneur</t>
  </si>
  <si>
    <t>Les adversaires peuvent exploiter la fonctionnalité de planification des tâches fournie par les outils d'orchestration de conteneurs tels que Kubernetes pour planifier le déploiement de conteneurs configurés pour exécuter du code malveillant. Les tâches d'orchestration de conteneurs exécutent ces tâches automatisées à une date et une heure spécifiques, de manière similaire aux tâches cron sur un système Linux. Les déploiements de ce type peuvent également être configurés pour maintenir une quantité de conteneurs au fil du temps, automatisant ainsi le processus de maintien de la persistance au sein d'un cluster.</t>
  </si>
  <si>
    <t>Exécution sans serveur</t>
  </si>
  <si>
    <t>Les adversaires peuvent exploiter les services de calcul, d'intégration et d'automatisation sans serveur pour exécuter du code arbitraire dans des environnements cloud. De nombreux fournisseurs de cloud proposent une variété de ressources sans serveur, notamment des moteurs de calcul, des services d'intégration d'applications et des serveurs Web.</t>
  </si>
  <si>
    <t>Modules partagés</t>
  </si>
  <si>
    <t>Les adversaires peuvent exécuter des charges utiles malveillantes via le chargement de modules partagés. Les modules partagés sont des fichiers exécutables qui sont chargés dans des processus pour fournir un accès à du code réutilisable, tel que des fonctions personnalisées spécifiques ou l'appel de fonctions API du système d'exploitation (c'est-à-dire API native ).</t>
  </si>
  <si>
    <t>Outils de déploiement de logiciels</t>
  </si>
  <si>
    <t>Les adversaires peuvent accéder aux suites logicielles centralisées installées au sein d'une entreprise et les utiliser pour exécuter des commandes et se déplacer latéralement sur le réseau. Les applications de gestion de configuration et de déploiement de logiciels peuvent être utilisées dans un réseau d'entreprise ou un environnement cloud à des fins d'administration de routine. Ces systèmes peuvent également être intégrés dans des pipelines CI/CD. Parmi ces solutions, on peut citer : SCCM, HBSS, Altiris, AWS Systems Manager, Microsoft Intune, Azure Arc et GCP Deployment Manager.</t>
  </si>
  <si>
    <t>Services système</t>
  </si>
  <si>
    <t>Les adversaires peuvent abuser des services système ou des démons pour exécuter des commandes ou des programmes. Les adversaires peuvent exécuter du contenu malveillant en interagissant avec des services ou en les créant localement ou à distance. De nombreux services sont configurés pour s'exécuter au démarrage, ce qui peut aider à obtenir la persistance ( Créer ou modifier un processus système ), mais les adversaires peuvent également abuser des services pour une exécution ponctuelle ou temporaire.</t>
  </si>
  <si>
    <t>Lancementctl</t>
  </si>
  <si>
    <t>Les adversaires peuvent abuser de launchctl pour exécuter des commandes ou des programmes. Launchctl s'interface avec launchd, le framework de gestion de services pour macOS. Launchctl prend en charge la prise de sous-commandes sur la ligne de commande, de manière interactive ou même redirigée depuis l'entrée standard.</t>
  </si>
  <si>
    <t>Exécution du service</t>
  </si>
  <si>
    <t>Les adversaires peuvent abuser du gestionnaire de contrôle des services Windows pour exécuter des commandes ou des charges utiles malveillantes. Le gestionnaire de contrôle des services Windows ( services.exe) est une interface permettant de gérer et de manipuler les services. Le gestionnaire de contrôle des services est accessible aux utilisateurs via des composants d'interface utilisateur graphique ainsi que des utilitaires système tels que sc.exeet Net .</t>
  </si>
  <si>
    <t>Exécution de l'utilisateur</t>
  </si>
  <si>
    <t>Un adversaire peut s'appuyer sur des actions spécifiques de la part d'un utilisateur pour obtenir une exécution. Les utilisateurs peuvent être soumis à l'ingénierie sociale pour les amener à exécuter un code malveillant, par exemple en ouvrant un fichier ou un lien malveillant. Ces actions de l'utilisateur seront généralement observées comme un comportement consécutif à des formes de phishing .</t>
  </si>
  <si>
    <t>Lien malveillant</t>
  </si>
  <si>
    <t>Fichier malveillant</t>
  </si>
  <si>
    <t>Un adversaire peut s'appuyer sur l'ouverture d'un fichier malveillant par un utilisateur pour obtenir l'exécution. Les utilisateurs peuvent être soumis à l'ingénierie sociale pour les inciter à ouvrir un fichier qui entraînera l'exécution de code. Cette action de l'utilisateur sera généralement observée comme un comportement consécutif à une attaque de spearphishing . Les adversaires peuvent utiliser plusieurs types de fichiers qui nécessitent qu'un utilisateur les exécute, notamment .doc, .pdf, .xls, .rtf, .scr, .exe, .lnk, .pif, .cpl et .reg.</t>
  </si>
  <si>
    <t>Image malveillante</t>
  </si>
  <si>
    <t>Les adversaires peuvent s'appuyer sur un utilisateur exécutant une image malveillante pour faciliter l'exécution. Les images Amazon Machine (AMI) d'Amazon Web Services (AWS), les images Google Cloud Platform (GCP) et les images Azure ainsi que les environnements d'exécution de conteneurs populaires tels que Docker peuvent être détournés. Les images détournées peuvent être téléchargées vers un référentiel public via Upload Malware , et les utilisateurs peuvent ensuite télécharger et déployer une instance ou un conteneur à partir de l'image sans se rendre compte que l'image est malveillante, contournant ainsi les techniques qui permettent spécifiquement l'accès initial. Cela peut conduire à l'exécution de code malveillant, tel que du code qui exécute l'extraction de cryptomonnaie, dans l'instance ou le conteneur.</t>
  </si>
  <si>
    <t>Instrumentation de gestion Windows</t>
  </si>
  <si>
    <t>Les adversaires peuvent exploiter Windows Management Instrumentation (WMI) pour exécuter des commandes et des charges utiles malveillantes. WMI est conçu pour les programmeurs et constitue l'infrastructure de gestion des données et des opérations sur les systèmes Windows. WMI est une fonctionnalité d'administration qui fournit un environnement uniforme pour accéder aux composants du système Windows.</t>
  </si>
  <si>
    <t>Persistance</t>
  </si>
  <si>
    <t>Manipulation de compte</t>
  </si>
  <si>
    <t>Les adversaires peuvent manipuler les comptes pour maintenir et/ou augmenter l'accès aux systèmes des victimes. La manipulation de compte peut consister en toute action qui préserve ou modifie l'accès d'un adversaire à un compte compromis, comme la modification des identifiants ou des groupes d'autorisations. Ces actions peuvent également inclure une activité de compte conçue pour subvertir les politiques de sécurité, comme l'exécution de mises à jour itératives des mots de passe pour contourner les politiques de durée des mots de passe et préserver la durée de vie des identifiants compromis.</t>
  </si>
  <si>
    <t>Informations d'identification Cloud supplémentaires</t>
  </si>
  <si>
    <t>Les adversaires peuvent ajouter des informations d’identification contrôlées par l’adversaire à un compte cloud pour maintenir un accès persistant aux comptes et instances des victimes au sein de l’environnement.</t>
  </si>
  <si>
    <t>Autorisations supplémentaires pour les délégués de messagerie</t>
  </si>
  <si>
    <t>Les adversaires peuvent accorder des niveaux d’autorisation supplémentaires pour maintenir un accès persistant à un compte de messagerie contrôlé par un adversaire.</t>
  </si>
  <si>
    <t>Rôles supplémentaires dans le cloud</t>
  </si>
  <si>
    <t>Un adversaire peut ajouter des rôles ou des autorisations supplémentaires à un compte cloud contrôlé par un adversaire pour maintenir un accès permanent à un locataire. Par exemple, les adversaires peuvent mettre à jour les stratégies IAM dans les environnements cloud ou ajouter un nouvel administrateur global dans les environnements Office 365. Avec des autorisations suffisantes, un compte compromis peut obtenir un accès presque illimité aux données et aux paramètres (y compris la possibilité de réinitialiser les mots de passe d'autres administrateurs).</t>
  </si>
  <si>
    <t>Clés autorisées SSH</t>
  </si>
  <si>
    <t>Enregistrement de l'appareil</t>
  </si>
  <si>
    <t>Les adversaires peuvent enregistrer un appareil sur un compte contrôlé par l'adversaire. Les appareils peuvent être enregistrés dans un système d'authentification multifacteur (MFA), qui gère l'authentification sur le réseau, ou dans un système de gestion des appareils, qui gère l'accès et la conformité des appareils.</t>
  </si>
  <si>
    <t>Rôles supplémentaires du cluster de conteneurs</t>
  </si>
  <si>
    <t>Un adversaire peut ajouter des rôles ou des autorisations supplémentaires à un compte d'utilisateur ou de service contrôlé par un adversaire pour maintenir un accès permanent à un système d'orchestration de conteneurs. Par exemple, un adversaire disposant d'autorisations suffisantes peut créer un RoleBinding ou un ClusterRoleBinding pour lier un rôle ou un ClusterRole à un compte Kubernetes. Lorsque le contrôle d'accès basé sur les attributs (ABAC) est utilisé, un adversaire disposant d'autorisations suffisantes peut modifier une stratégie ABAC Kubernetes pour accorder des autorisations supplémentaires au compte cible.</t>
  </si>
  <si>
    <t>Groupes locaux ou de domaine supplémentaires</t>
  </si>
  <si>
    <t>Un adversaire peut ajouter des groupes locaux ou de domaine supplémentaires à un compte contrôlé par un adversaire pour maintenir un accès persistant à un système ou à un domaine.</t>
  </si>
  <si>
    <t>Emplois BITS</t>
  </si>
  <si>
    <t>Les adversaires peuvent exploiter les tâches BITS pour exécuter du code de manière persistante et effectuer diverses tâches en arrière-plan. Windows Background Intelligent Transfer Service (BITS) est un mécanisme de transfert de fichiers asynchrone à faible bande passante exposé via Component Object Model (COM). BITS est couramment utilisé par les programmes de mise à jour, les messageries et d'autres applications qui préfèrent fonctionner en arrière-plan (en utilisant la bande passante inactive disponible) sans interrompre les autres applications en réseau. Les tâches de transfert de fichiers sont implémentées sous forme de tâches BITS, qui contiennent une file d'attente d'une ou plusieurs opérations de fichier.</t>
  </si>
  <si>
    <t>Exécution du démarrage automatique au démarrage ou à la connexion</t>
  </si>
  <si>
    <t>Les pirates informatiques peuvent configurer les paramètres système pour exécuter automatiquement un programme au démarrage ou à la connexion du système afin de maintenir la persistance ou d'obtenir des privilèges de niveau supérieur sur les systèmes compromis. Les systèmes d'exploitation peuvent disposer de mécanismes permettant d'exécuter automatiquement un programme au démarrage du système ou à la connexion d'un compte. Ces mécanismes peuvent inclure l'exécution automatique de programmes placés dans des répertoires spécialement désignés ou référencés par des référentiels qui stockent des informations de configuration, comme le registre Windows. Un pirate informatique peut atteindre le même objectif en modifiant ou en étendant les fonctionnalités du noyau.</t>
  </si>
  <si>
    <t>Clés d'exécution du registre / dossier de démarrage</t>
  </si>
  <si>
    <t>Les adversaires peuvent obtenir la persistance en ajoutant un programme à un dossier de démarrage ou en le référençant avec une clé d'exécution du Registre. L'ajout d'une entrée aux « clés d'exécution » dans le Registre ou le dossier de démarrage entraînera l'exécution du programme référencé lorsqu'un utilisateur se connectera. Ces programmes seront exécutés dans le contexte de l'utilisateur et auront le niveau d'autorisation associé au compte.</t>
  </si>
  <si>
    <t>Paquet d'authentification</t>
  </si>
  <si>
    <t>Les adversaires peuvent exploiter les packages d'authentification pour exécuter des DLL au démarrage du système. Les DLL des packages d'authentification Windows sont chargées par le processus de l'autorité de sécurité locale (LSA) au démarrage du système. Elles prennent en charge plusieurs processus de connexion et plusieurs protocoles de sécurité pour le système d'exploitation.</t>
  </si>
  <si>
    <t>Fournisseurs de temps</t>
  </si>
  <si>
    <t>Les adversaires peuvent abuser des fournisseurs de temps pour exécuter des DLL au démarrage du système. Le service de temps Windows (W32Time) permet la synchronisation de l'heure entre et au sein des domaines. Les fournisseurs de temps W32Time sont chargés de récupérer les horodatages des ressources matérielles/réseau et de transmettre ces valeurs à d'autres clients réseau.</t>
  </si>
  <si>
    <t>DLL d'aide Winlogon</t>
  </si>
  <si>
    <t>Fournisseur de soutien en matière de sécurité</t>
  </si>
  <si>
    <t>Les adversaires peuvent abuser des fournisseurs de support de sécurité (SSP) pour exécuter des DLL au démarrage du système. Les DLL SSP Windows sont chargées dans le processus de l'autorité de sécurité locale (LSA) au démarrage du système. Une fois chargées dans la LSA, les DLL SSP ont accès aux mots de passe chiffrés et en texte clair qui sont stockés dans Windows, tels que le mot de passe de domaine ou les codes PIN de carte à puce de tout utilisateur connecté.</t>
  </si>
  <si>
    <t>Modules et extensions du noyau</t>
  </si>
  <si>
    <t>Les adversaires peuvent modifier le noyau pour exécuter automatiquement des programmes au démarrage du système. Les modules de noyau chargeables (LKM) sont des morceaux de code qui peuvent être chargés et déchargés dans le noyau à la demande. Ils étendent les fonctionnalités du noyau sans qu'il soit nécessaire de redémarrer le système. Par exemple, un type de module est le pilote de périphérique, qui permet au noyau d'accéder au matériel connecté au système. </t>
  </si>
  <si>
    <t>Demandes réouvertes</t>
  </si>
  <si>
    <t>Pilote LSASS</t>
  </si>
  <si>
    <t>Les adversaires peuvent modifier ou ajouter des pilotes LSASS pour obtenir la persistance sur les systèmes compromis. Le sous-système de sécurité Windows est un ensemble de composants qui gèrent et appliquent la politique de sécurité d'un ordinateur ou d'un domaine. L'autorité de sécurité locale (LSA) est le composant principal responsable de la politique de sécurité locale et de l'authentification des utilisateurs. L'autorité de sécurité locale comprend plusieurs bibliothèques de liens dynamiques (DLL) associées à diverses autres fonctions de sécurité, qui s'exécutent toutes dans le contexte du processus lsass.exe du service de sous-système LSA (LSASS).</t>
  </si>
  <si>
    <t>Modification du raccourci</t>
  </si>
  <si>
    <t>Les pirates peuvent créer ou modifier des raccourcis qui peuvent exécuter un programme lors du démarrage du système ou de la connexion de l'utilisateur. Les raccourcis ou les liens symboliques sont utilisés pour référencer d'autres fichiers ou programmes qui seront ouverts ou exécutés lorsque le raccourci est cliqué ou exécuté par un processus de démarrage du système.</t>
  </si>
  <si>
    <t>Moniteurs de port</t>
  </si>
  <si>
    <t>Processeurs d'impression</t>
  </si>
  <si>
    <t>Entrées de démarrage automatique XDG</t>
  </si>
  <si>
    <t>Configuration active</t>
  </si>
  <si>
    <t>Les adversaires peuvent obtenir la persistance en ajoutant une clé de registre à la configuration active de la machine locale. La configuration active est un mécanisme Windows utilisé pour exécuter des programmes lorsqu'un utilisateur se connecte. La valeur stockée dans la clé de registre sera exécutée après la connexion d'un utilisateur à l'ordinateur. Ces programmes seront exécutés dans le contexte de l'utilisateur et auront le niveau d'autorisation associé au compte.</t>
  </si>
  <si>
    <t>Éléments de connexion</t>
  </si>
  <si>
    <t>Les adversaires peuvent ajouter des éléments de connexion à exécuter lors de la connexion de l'utilisateur pour obtenir la persistance ou augmenter les privilèges. Les éléments de connexion sont des applications, des documents, des dossiers ou des connexions au serveur qui sont automatiquement lancés lorsqu'un utilisateur se connecte. Les éléments de connexion peuvent être ajoutés via une liste de fichiers partagés ou Service Management Framework. Les éléments de connexion de la liste de fichiers partagés peuvent être définis à l'aide de langages de script tels qu'AppleScript , tandis que Service Management Framework utilise l'appel API SMLoginItemSetEnabled.</t>
  </si>
  <si>
    <t>Scripts d'initialisation de démarrage ou de connexion</t>
  </si>
  <si>
    <t>Les adversaires peuvent utiliser des scripts exécutés automatiquement au démarrage ou à l'initialisation de la connexion pour établir la persistance. Les scripts d'initialisation peuvent être utilisés pour exécuter des fonctions administratives, qui peuvent souvent exécuter d'autres programmes ou envoyer des informations à un serveur de journalisation interne. Ces scripts peuvent varier en fonction du système d'exploitation et de leur application locale ou distante.</t>
  </si>
  <si>
    <t>Script de connexion (Windows)</t>
  </si>
  <si>
    <t>Crochet de connexion</t>
  </si>
  <si>
    <t>Script de connexion au réseau</t>
  </si>
  <si>
    <t>Les adversaires peuvent utiliser des scripts de connexion réseau exécutés automatiquement lors de l'initialisation de la connexion pour établir la persistance. Les scripts de connexion réseau peuvent être attribués à l'aide d'Active Directory ou d'objets de stratégie de groupe. Ces scripts de connexion s'exécutent avec les privilèges de l'utilisateur auquel ils sont attribués. Selon les systèmes au sein du réseau, l'initialisation de l'un de ces scripts peut s'appliquer à plusieurs systèmes ou potentiellement à tous les systèmes.</t>
  </si>
  <si>
    <t>Scripts RC</t>
  </si>
  <si>
    <t>Les adversaires peuvent établir la persistance en modifiant les scripts RC qui sont exécutés au démarrage d'un système de type Unix. Ces fichiers permettent aux administrateurs système de mapper et de démarrer des services personnalisés au démarrage pour différents niveaux d'exécution. Les scripts RC nécessitent des privilèges root pour être modifiés.</t>
  </si>
  <si>
    <t>Éléments de démarrage</t>
  </si>
  <si>
    <t>Les adversaires peuvent utiliser des éléments de démarrage exécutés automatiquement lors de l'initialisation du démarrage pour établir la persistance. Les éléments de démarrage s'exécutent pendant la phase finale du processus de démarrage et contiennent des scripts shell ou d'autres fichiers exécutables ainsi que des informations de configuration utilisées par le système pour déterminer l'ordre d'exécution de tous les éléments de démarrage.</t>
  </si>
  <si>
    <t>Extensions de navigateur</t>
  </si>
  <si>
    <t>Les pirates informatiques peuvent utiliser les extensions de navigateur Internet pour établir un accès permanent aux systèmes des victimes. Les extensions de navigateur ou plugins sont de petits programmes qui permettent d'ajouter des fonctionnalités et de personnaliser certains aspects des navigateurs Internet. Ils peuvent être installés directement ou via la boutique d'applications d'un navigateur et disposent généralement d'un accès et de permissions sur tout ce à quoi le navigateur peut accéder.</t>
  </si>
  <si>
    <t>Compromettre le binaire du logiciel hôte</t>
  </si>
  <si>
    <t>Les adversaires peuvent modifier les binaires des logiciels hôtes pour établir un accès permanent aux systèmes. Les binaires/exécutables logiciels fournissent une large gamme de commandes ou de services système, de programmes et de bibliothèques. Les binaires logiciels courants sont les clients SSH, les clients FTP, les clients de messagerie, les navigateurs Web et de nombreuses autres applications utilisateur ou serveur.</t>
  </si>
  <si>
    <t>Créer un compte</t>
  </si>
  <si>
    <t>Les adversaires peuvent créer un compte pour conserver l'accès aux systèmes des victimes. Avec un niveau d'accès suffisant, la création de tels comptes peut être utilisée pour établir un accès secondaire avec informations d'identification qui ne nécessite pas le déploiement d'outils d'accès à distance persistants sur le système.</t>
  </si>
  <si>
    <t>Compte local</t>
  </si>
  <si>
    <t>Les adversaires peuvent créer un compte local pour conserver l'accès aux systèmes des victimes. Les comptes locaux sont ceux configurés par une organisation pour être utilisés par les utilisateurs, l'assistance à distance, les services ou pour l'administration sur un système ou un service unique.</t>
  </si>
  <si>
    <t>Compte de domaine</t>
  </si>
  <si>
    <t>Compte Cloud</t>
  </si>
  <si>
    <t>Les adversaires peuvent créer un compte cloud pour conserver l'accès aux systèmes des victimes. Avec un niveau d'accès suffisant, ces comptes peuvent être utilisés pour établir un accès secondaire avec informations d'identification qui ne nécessite pas le déploiement d'outils d'accès à distance persistants sur le système.</t>
  </si>
  <si>
    <t>Créer ou modifier un processus système</t>
  </si>
  <si>
    <t>Agent de lancement</t>
  </si>
  <si>
    <t>Service Systemd</t>
  </si>
  <si>
    <t>Les adversaires peuvent créer ou modifier des services systemd pour exécuter de manière répétée des charges malveillantes dans le cadre de la persistance. Systemd est un gestionnaire de systèmes et de services couramment utilisé pour gérer les processus de démon d'arrière-plan (également appelés services) et d'autres ressources système. Systemd est le système d'initialisation (init) par défaut sur de nombreuses distributions Linux qui remplace les systèmes d'initialisation hérités, notamment SysVinit et Upstart, tout en restant rétrocompatible.</t>
  </si>
  <si>
    <t>Service Windows</t>
  </si>
  <si>
    <t>Les adversaires peuvent créer ou modifier des services Windows pour exécuter de manière répétée des charges malveillantes dans le cadre de la persistance. Lorsque Windows démarre, il lance des programmes ou des applications appelés services qui exécutent des fonctions système en arrière-plan. Les informations de configuration des services Windows, y compris le chemin d'accès au fichier exécutable ou aux programmes/commandes de récupération du service, sont stockées dans le registre Windows.</t>
  </si>
  <si>
    <t>Lancer le démon</t>
  </si>
  <si>
    <t>Service de conteneurs</t>
  </si>
  <si>
    <t>Les adversaires peuvent créer ou modifier des outils de gestion de conteneurs ou de clusters de conteneurs qui s'exécutent en tant que démons, agents ou services sur des hôtes individuels. Il s'agit notamment de logiciels permettant de créer et de gérer des conteneurs individuels, tels que Docker et Podman, ainsi que des agents au niveau des nœuds de clusters de conteneurs tels que kubelet. En modifiant ces services, un adversaire peut être en mesure d'obtenir la persistance ou d'élever ses privilèges sur un hôte.</t>
  </si>
  <si>
    <t>Exécution déclenchée par un événement</t>
  </si>
  <si>
    <t>Les adversaires peuvent établir une persistance et/ou élever les privilèges à l'aide de mécanismes système qui déclenchent l'exécution en fonction d'événements spécifiques. Différents systèmes d'exploitation disposent de moyens permettant de surveiller et de s'abonner à des événements tels que les connexions ou d'autres activités utilisateur telles que l'exécution d'applications/binaires spécifiques. Les environnements cloud peuvent également prendre en charge diverses fonctions et services qui surveillent et peuvent être invoqués en réponse à des événements cloud spécifiques.</t>
  </si>
  <si>
    <t>Modifier l'association de fichiers par défaut</t>
  </si>
  <si>
    <t>Les adversaires peuvent établir une persistance en exécutant un contenu malveillant déclenché par une association de type de fichier. Lorsqu'un fichier est ouvert, le programme par défaut utilisé pour ouvrir le fichier (également appelé association de fichiers ou gestionnaire) est vérifié. Les sélections d'association de fichiers sont stockées dans le registre Windows et peuvent être modifiées par les utilisateurs, les administrateurs ou les programmes disposant d'un accès au registre ou par les administrateurs à l'aide de l'utilitaire assoc intégré. Les applications peuvent modifier l'association de fichiers pour une extension de fichier donnée afin d'appeler un programme arbitraire lorsqu'un fichier avec l'extension donnée est ouvert.</t>
  </si>
  <si>
    <t>Économiseur d'écran</t>
  </si>
  <si>
    <t>Abonnement aux événements de Windows Management Instrumentation</t>
  </si>
  <si>
    <t>Les adversaires peuvent établir une persistance et élever les privilèges en exécutant du contenu malveillant déclenché par un abonnement à un événement Windows Management Instrumentation (WMI). WMI peut être utilisé pour installer des filtres d'événements, des fournisseurs, des consommateurs et des liaisons qui exécutent du code lorsqu'un événement défini se produit. Des exemples d'événements auxquels il est possible de s'abonner sont l'heure de l'horloge murale, la connexion de l'utilisateur ou le temps de fonctionnement de l'ordinateur.</t>
  </si>
  <si>
    <t>Modification de la configuration du shell Unix</t>
  </si>
  <si>
    <t>Les adversaires peuvent établir une persistance en exécutant des commandes malveillantes déclenchées par le shell d'un utilisateur. Les shells Unix utilisateur exécutent plusieurs scripts de configuration à différents moments de la session en fonction des événements. Par exemple, lorsqu'un utilisateur ouvre une interface de ligne de commande ou se connecte à distance (par exemple via SSH), un shell de connexion est lancé. Le shell de connexion exécute des scripts à partir du système ( /etc) et du répertoire personnel de l'utilisateur ( ~/) pour configurer l'environnement. Tous les shells de connexion sur un système utilisent /etc/profile lorsqu'ils sont lancés. Ces scripts de configuration s'exécutent au niveau d'autorisation de leur répertoire et sont souvent utilisés pour définir des variables d'environnement, créer des alias et personnaliser l'environnement de l'utilisateur. Lorsque le shell se ferme ou se termine, des scripts shell supplémentaires sont exécutés pour garantir que le shell se ferme correctement.</t>
  </si>
  <si>
    <t>Piège</t>
  </si>
  <si>
    <t>Ajout de LC_LOAD_DYLIB</t>
  </si>
  <si>
    <t>Les adversaires peuvent établir la persistance en exécutant du contenu malveillant déclenché par l'exécution de binaires corrompus. Les binaires Mach-O ont une série d'en-têtes qui sont utilisés pour effectuer certaines opérations lorsqu'un binaire est chargé. L'en-tête LC_LOAD_DYLIB dans un binaire Mach-O indique à macOS et OS X quelles bibliothèques dynamiques (dylibs) charger pendant le temps d'exécution. Ceux-ci peuvent être ajoutés ad hoc au binaire compilé tant que des ajustements sont apportés au reste des champs et des dépendances. Des outils sont disponibles pour effectuer ces modifications.</t>
  </si>
  <si>
    <t>DLL d'aide Netsh</t>
  </si>
  <si>
    <t>Fonctionnalités d'accessibilité</t>
  </si>
  <si>
    <t>Les adversaires peuvent établir une persistance et/ou élever les privilèges en exécutant du contenu malveillant déclenché par des fonctionnalités d'accessibilité. Windows contient des fonctionnalités d'accessibilité qui peuvent être lancées avec une combinaison de touches avant qu'un utilisateur ne se connecte (par exemple, lorsque l'utilisateur est sur l'écran de connexion Windows). Un adversaire peut modifier la façon dont ces programmes sont lancés pour obtenir une invite de commande ou une porte dérobée sans se connecter au système.</t>
  </si>
  <si>
    <t>DLL AppCert</t>
  </si>
  <si>
    <t>DLL AppInit</t>
  </si>
  <si>
    <t>Application de calage</t>
  </si>
  <si>
    <t>Les adversaires peuvent établir une persistance et/ou élever les privilèges en exécutant du contenu malveillant déclenché par des cales d'application. L'infrastructure/cadre de compatibilité des applications Microsoft Windows (Application Shim) a été créé pour permettre la rétrocompatibilité des logiciels à mesure que la base de code du système d'exploitation évolue au fil du temps. Par exemple, la fonctionnalité de calage d'application permet aux développeurs d'appliquer des correctifs aux applications (sans réécrire le code) qui ont été créées pour Windows XP afin qu'elles fonctionnent avec Windows 10.</t>
  </si>
  <si>
    <t>Options d'exécution du fichier image Injection</t>
  </si>
  <si>
    <t>Profil PowerShell</t>
  </si>
  <si>
    <t>Les adversaires peuvent obtenir de la persistance et élever leurs privilèges en exécutant du contenu malveillant déclenché par des profils PowerShell. Un profil PowerShell ( profile.ps1) est un script qui s'exécute au démarrage de PowerShell et peut être utilisé comme script de connexion pour personnaliser les environnements utilisateur.</t>
  </si>
  <si>
    <t>Émond</t>
  </si>
  <si>
    <t>Les adversaires peuvent gagner en persistance et élever leurs privilèges en exécutant du contenu malveillant déclenché par le démon Event Monitor (emond). Emond est un démon de lancement qui accepte les événements de divers services, les exécute via un moteur de règles simple et prend des mesures. Le binaire emond /sbin/emondchargera toutes les règles du /etc/emond.d/rules/répertoire et prendra des mesures une fois qu'un événement explicitement défini se produit.</t>
  </si>
  <si>
    <t>Détournement du modèle d'objet de composant</t>
  </si>
  <si>
    <t>Les adversaires peuvent établir une persistance en exécutant du contenu malveillant déclenché par des références détournées à des objets COM (Component Object Model). COM est un système intégré à Windows permettant l'interaction entre les composants logiciels via le système d'exploitation. Les références à divers objets COM sont stockées dans le Registre.</t>
  </si>
  <si>
    <t>Paquets d'installation</t>
  </si>
  <si>
    <t>Les adversaires peuvent établir la persistance et élever les privilèges en utilisant un programme d'installation pour déclencher l'exécution de contenu malveillant. Les packages d'installation sont spécifiques au système d'exploitation et contiennent les ressources dont un système d'exploitation a besoin pour installer des applications sur un système. Les packages d'installation peuvent inclure des scripts qui s'exécutent avant l'installation ainsi qu'une fois l'installation terminée. Les scripts d'installation peuvent hériter d'autorisations élevées lors de leur exécution. Les développeurs utilisent souvent ces scripts pour préparer l'environnement à l'installation, vérifier les exigences, télécharger les dépendances et supprimer les fichiers après l'installation.</t>
  </si>
  <si>
    <t>Règles Udev</t>
  </si>
  <si>
    <t>Flux d'exécution du détournement</t>
  </si>
  <si>
    <t>Les adversaires peuvent exécuter leurs propres charges malveillantes en détournant la manière dont les systèmes d'exploitation exécutent les programmes. Le détournement du flux d'exécution peut être effectué à des fins de persistance, car cette exécution détournée peut se reproduire au fil du temps. Les adversaires peuvent également utiliser ces mécanismes pour élever leurs privilèges ou échapper aux défenses, telles que le contrôle des applications ou d'autres restrictions d'exécution.</t>
  </si>
  <si>
    <t>Détournement de l'ordre de recherche DLL</t>
  </si>
  <si>
    <t>Les adversaires peuvent exécuter leurs propres charges malveillantes en détournant l'ordre de recherche utilisé pour charger les DLL. Les systèmes Windows utilisent une méthode courante pour rechercher les DLL requises à charger dans un programme. Le détournement des chargements de DLL peut avoir pour but d'établir une persistance ainsi que d'élever les privilèges et/ou d'échapper aux restrictions sur l'exécution des fichiers.</t>
  </si>
  <si>
    <t>Chargement latéral de DLL</t>
  </si>
  <si>
    <t>Les adversaires peuvent exécuter leurs propres charges utiles malveillantes en chargeant latéralement des DLL. Similairement au détournement de l'ordre de recherche de DLL , le chargement latéral consiste à détourner la DLL qu'un programme charge. Mais plutôt que de simplement implanter la DLL dans l'ordre de recherche d'un programme puis d'attendre que l'application victime soit invoquée, les adversaires peuvent directement charger latéralement leurs charges utiles en implantant puis en invoquant une application légitime qui exécute leur(s) charge(s).</t>
  </si>
  <si>
    <t>Détournement de Dylib</t>
  </si>
  <si>
    <t>Faiblesse des autorisations du fichier d'installation exécutable</t>
  </si>
  <si>
    <t>Les adversaires peuvent exécuter leurs propres charges utiles malveillantes en détournant les binaires utilisés par un installateur. Ces processus peuvent exécuter automatiquement des binaires spécifiques dans le cadre de leurs fonctionnalités ou pour effectuer d'autres actions. Si les autorisations sur le répertoire du système de fichiers contenant un binaire cible, ou les autorisations sur le binaire lui-même, sont mal définies, le binaire cible peut être écrasé par un autre binaire utilisant des autorisations de niveau utilisateur et exécuté par le processus d'origine. Si le processus et le thread d'origine s'exécutent sous un niveau d'autorisation supérieur, le binaire remplacé s'exécutera également sous des autorisations de niveau supérieur, qui peuvent inclure SYSTEM.</t>
  </si>
  <si>
    <t>Détournement de liens dynamiques</t>
  </si>
  <si>
    <t>Interception de chemin par la variable d'environnement PATH</t>
  </si>
  <si>
    <t>Les adversaires peuvent exécuter leurs propres charges utiles malveillantes en détournant les variables d'environnement utilisées pour charger les bibliothèques. La variable d'environnement PATH contient une liste de répertoires (Utilisateur et Système) dans lesquels le système d'exploitation recherche séquentiellement le binaire appelé à partir d'un script ou de la ligne de commande.</t>
  </si>
  <si>
    <t>Interception de chemin par détournement d'ordre de recherche</t>
  </si>
  <si>
    <t>Les adversaires peuvent exécuter leurs propres charges malveillantes en détournant l'ordre de recherche utilisé pour charger d'autres programmes. Étant donné que certains programmes n'appellent pas d'autres programmes en utilisant le chemin d'accès complet, les adversaires peuvent placer leur propre fichier dans le répertoire où se trouve le programme appelant, ce qui amène le système d'exploitation à lancer son logiciel malveillant à la demande du programme appelant.</t>
  </si>
  <si>
    <t>Interception de chemin par un chemin sans guillemets</t>
  </si>
  <si>
    <t>Les adversaires peuvent exécuter leurs propres charges malveillantes en détournant les références de chemin de fichier vulnérables. Les adversaires peuvent tirer parti des chemins qui ne sont pas entourés de guillemets en plaçant un exécutable dans un répertoire de niveau supérieur au sein du chemin, de sorte que Windows choisisse l'exécutable de l'adversaire à lancer.</t>
  </si>
  <si>
    <t>Faiblesse des autorisations des fichiers de services</t>
  </si>
  <si>
    <t>Les adversaires peuvent exécuter leurs propres charges utiles malveillantes en détournant les binaires utilisés par les services. Les adversaires peuvent exploiter les failles dans les autorisations des services Windows pour remplacer le binaire exécuté au démarrage du service. Ces processus de service peuvent exécuter automatiquement des binaires spécifiques dans le cadre de leur fonctionnalité ou pour effectuer d'autres actions. Si les autorisations sur le répertoire du système de fichiers contenant un binaire cible, ou les autorisations sur le binaire lui-même sont mal définies, le binaire cible peut être écrasé par un autre binaire utilisant des autorisations de niveau utilisateur et exécuté par le processus d'origine. Si le processus et le thread d'origine s'exécutent sous un niveau d'autorisation supérieur, le binaire remplacé s'exécutera également sous des autorisations de niveau supérieur, qui peuvent inclure SYSTEM.</t>
  </si>
  <si>
    <t>Faiblesse des autorisations du registre des services</t>
  </si>
  <si>
    <t>Les adversaires peuvent exploiter la variable d'environnement COR_PROFILER pour détourner le flux d'exécution des programmes qui chargent le CLR .NET. COR_PROFILER est une fonctionnalité de .NET Framework qui permet aux développeurs de spécifier une DLL de profilage non gérée (ou externe à .NET) à charger dans chaque processus .NET qui charge le Common Language Runtime (CLR). Ces profileurs sont conçus pour surveiller, dépanner et déboguer le code géré exécuté par le CLR .NET.</t>
  </si>
  <si>
    <t>Table de rappel du noyau</t>
  </si>
  <si>
    <t>Gestionnaire de domaines d'application</t>
  </si>
  <si>
    <t>Image interne de l'implant</t>
  </si>
  <si>
    <t>Les adversaires peuvent implanter des images cloud ou conteneur avec du code malveillant pour établir une persistance après avoir accédé à un environnement. Les images Amazon Machine (AMI) d'Amazon Web Services (AWS), les images Google Cloud Platform (GCP) et les images Azure ainsi que les environnements d'exécution de conteneurs populaires tels que Docker peuvent être implantés ou détournés. Contrairement à Upload Malware , cette technique se concentre sur les adversaires implantant une image dans un registre au sein de l'environnement d'une victime. Selon la manière dont l'infrastructure est provisionnée, cela peut fournir un accès persistant si l'outil de provisionnement de l'infrastructure est chargé d'utiliser toujours la dernière image.</t>
  </si>
  <si>
    <t>Modifier le processus d'authentification</t>
  </si>
  <si>
    <t>Les adversaires peuvent modifier les mécanismes et processus d'authentification pour accéder aux informations d'identification des utilisateurs ou permettre un accès injustifié aux comptes. Le processus d'authentification est géré par des mécanismes tels que le processus Local Security Authentication Server (LSASS) et le Security Accounts Manager (SAM) sous Windows, les modules d'authentification enfichables (PAM) sur les systèmes basés sur Unix et les plug-ins d'autorisation sur les systèmes MacOS, chargés de collecter, de stocker et de valider les informations d'identification. En modifiant un processus d'authentification, un adversaire peut être en mesure de s'authentifier auprès d'un service ou d'un système sans utiliser de comptes valides .</t>
  </si>
  <si>
    <t>Authentification du contrôleur de domaine</t>
  </si>
  <si>
    <t>Les adversaires peuvent corriger le processus d’authentification sur un contrôleur de domaine pour contourner les mécanismes d’authentification classiques et permettre l’accès aux comptes.</t>
  </si>
  <si>
    <t>Filtre de mot de passe DLL</t>
  </si>
  <si>
    <t>Les adversaires peuvent enregistrer des bibliothèques de liens dynamiques (DLL) de filtres de mots de passe malveillants dans le processus d'authentification pour acquérir les informations d'identification de l'utilisateur au fur et à mesure de leur validation.</t>
  </si>
  <si>
    <t>Modules d'authentification enfichables</t>
  </si>
  <si>
    <t>Authentification des périphériques réseau</t>
  </si>
  <si>
    <t>Les adversaires peuvent utiliser Patch System Image pour coder en dur un mot de passe dans le système d'exploitation, contournant ainsi les mécanismes d'authentification natifs des comptes locaux sur les périphériques réseau.</t>
  </si>
  <si>
    <t>Cryptage réversible</t>
  </si>
  <si>
    <t>Authentification multifacteur</t>
  </si>
  <si>
    <t>Les adversaires peuvent désactiver ou modifier les mécanismes d’authentification multifacteur (MFA) pour permettre un accès persistant aux comptes compromis.</t>
  </si>
  <si>
    <t>Identité hybride</t>
  </si>
  <si>
    <t>Les adversaires peuvent corriger, modifier ou détourner d'une autre manière les processus d'authentification cloud liés aux identités des utilisateurs sur site afin de contourner les mécanismes d'authentification classiques, d'accéder aux informations d'identification et de permettre un accès persistant aux comptes.</t>
  </si>
  <si>
    <t>DLL du fournisseur de réseau</t>
  </si>
  <si>
    <t>Politiques d'accès conditionnel</t>
  </si>
  <si>
    <t>Les adversaires peuvent désactiver ou modifier les politiques d'accès conditionnel pour permettre un accès permanent aux comptes compromis. Les politiques d'accès conditionnel sont des vérifications supplémentaires utilisées par les fournisseurs d'identité et les systèmes de gestion des identités et des accès pour déterminer si un utilisateur doit se voir accorder l'accès à une ressource.</t>
  </si>
  <si>
    <t>Démarrage de l'application Office</t>
  </si>
  <si>
    <t>Les adversaires peuvent exploiter les applications basées sur Microsoft Office pour la persistance entre les startups. Microsoft Office est une suite d'applications assez courante sur les systèmes d'exploitation Windows au sein d'un réseau d'entreprise. Il existe plusieurs mécanismes qui peuvent être utilisés avec Office pour la persistance lorsqu'une application basée sur Office est démarrée ; cela peut inclure l'utilisation de macros de modèles Office et de modules complémentaires.</t>
  </si>
  <si>
    <t>Macros de modèles de bureau</t>
  </si>
  <si>
    <t>Les adversaires peuvent exploiter les modèles Microsoft Office pour obtenir la persistance sur un système compromis. Microsoft Office contient des modèles qui font partie des applications Office courantes et sont utilisés pour personnaliser les styles. Les modèles de base de l'application sont utilisés à chaque démarrage d'une application.</t>
  </si>
  <si>
    <t>Test de bureau</t>
  </si>
  <si>
    <t>Les adversaires peuvent exploiter la clé de registre Microsoft Office « Office Test » pour obtenir la persistance sur un système compromis. Il existe un emplacement de registre Office Test qui permet à un utilisateur de spécifier une DLL arbitraire qui sera exécutée à chaque démarrage d'une application Office. Cette clé de registre est censée être utilisée par Microsoft pour charger des DLL à des fins de test et de débogage lors du développement d'applications Office. Cette clé de registre n'est pas créée par défaut lors d'une installation d'Office.</t>
  </si>
  <si>
    <t>Formulaires Outlook</t>
  </si>
  <si>
    <t>Les adversaires peuvent exploiter les formulaires Microsoft Outlook pour obtenir la persistance sur un système compromis. Les formulaires Outlook sont utilisés comme modèles pour la présentation et les fonctionnalités des messages Outlook. Des formulaires Outlook personnalisés peuvent être créés pour exécuter du code lorsqu'un adversaire utilisant le même formulaire Outlook personnalisé envoie un e-mail spécialement conçu.</t>
  </si>
  <si>
    <t>Page d'accueil d'Outlook</t>
  </si>
  <si>
    <t>Les adversaires peuvent exploiter la fonctionnalité Page d'accueil de Microsoft Outlook pour obtenir la persistance sur un système compromis. La page d'accueil d'Outlook est une fonctionnalité héritée utilisée pour personnaliser la présentation des dossiers Outlook. Cette fonctionnalité permet de charger et d'afficher une URL interne ou externe à chaque ouverture d'un dossier. Une page HTML malveillante peut être créée pour exécuter du code lors du chargement par la page d'accueil d'Outlook.</t>
  </si>
  <si>
    <t>Règles Outlook</t>
  </si>
  <si>
    <t>Les adversaires peuvent abuser des règles Microsoft Outlook pour obtenir la persistance sur un système compromis. Les règles Outlook permettent à un utilisateur de définir un comportement automatisé pour gérer les messages électroniques. Une règle bénigne peut, par exemple, déplacer automatiquement un e-mail vers un dossier particulier dans Outlook s'il contient des mots spécifiques provenant d'un expéditeur spécifique. Des règles Outlook malveillantes peuvent être créées et déclencher l'exécution de code lorsqu'un adversaire envoie un e-mail spécialement conçu à cet utilisateur.</t>
  </si>
  <si>
    <t>Modules complémentaires</t>
  </si>
  <si>
    <t>Les adversaires peuvent exploiter les modules complémentaires Microsoft Office pour obtenir la persistance sur un système compromis. Les modules complémentaires Office peuvent être utilisés pour ajouter des fonctionnalités aux programmes Office. Il existe différents types de modules complémentaires qui peuvent être utilisés par les différents produits Office, notamment les bibliothèques de modules complémentaires Word/Excel (WLL/XLL), les modules complémentaires VBA, les modules complémentaires COM (Office Component Object Model), les modules complémentaires d'automatisation, l'éditeur VBA (VBE), les modules complémentaires Visual Studio Tools for Office (VSTO) et les modules complémentaires Outlook.</t>
  </si>
  <si>
    <t>Paramètres d'alimentation</t>
  </si>
  <si>
    <t>Les pirates informatiques peuvent altérer la capacité d'un système à hiberner, redémarrer ou s'arrêter afin d'étendre l'accès aux machines infectées. Lorsqu'un ordinateur entre dans un état de veille, tout ou partie des logiciels et du matériel peuvent cesser de fonctionner, ce qui peut perturber l'activité malveillante.</t>
  </si>
  <si>
    <t>Démarrage avant le système d'exploitation</t>
  </si>
  <si>
    <t>Les adversaires peuvent exploiter les mécanismes de démarrage pré-OS pour établir une persistance sur un système. Pendant le processus de démarrage d'un ordinateur, le micrologiciel et divers services de démarrage sont chargés avant le système d'exploitation. Ces programmes contrôlent le flux d'exécution avant que le système d'exploitation ne prenne le contrôle.</t>
  </si>
  <si>
    <t>Micrologiciel du système</t>
  </si>
  <si>
    <t>Les adversaires peuvent modifier le micrologiciel du système pour qu'il persiste sur les systèmes. Le BIOS (Basic Input/Output System) et l'interface de micrologiciel extensible unifiée (UEFI) ou l'interface de micrologiciel extensible (EFI) sont des exemples de micrologiciels système qui fonctionnent comme l'interface logicielle entre le système d'exploitation et le matériel d'un ordinateur.</t>
  </si>
  <si>
    <t>Micrologiciel des composants</t>
  </si>
  <si>
    <t>Les adversaires peuvent modifier le micrologiciel des composants pour qu'il persiste sur les systèmes. Certains adversaires peuvent employer des moyens sophistiqués pour compromettre les composants de l'ordinateur et installer un micrologiciel malveillant qui exécutera le code de l'adversaire en dehors du système d'exploitation et du micrologiciel principal du système ou du BIOS. Cette technique peut être similaire à celle du micrologiciel système , mais appliquée à d'autres composants/périphériques du système qui peuvent ne pas avoir la même capacité ou le même niveau de contrôle d'intégrité.</t>
  </si>
  <si>
    <t>Kit de démarrage</t>
  </si>
  <si>
    <t>Les adversaires peuvent utiliser des bootkits pour persister sur les systèmes. Les bootkits résident à une couche sous le système d'exploitation et peuvent rendre difficile la mise en œuvre d'une correction complète, à moins qu'une organisation ne soupçonne qu'un bootkit a été utilisé et puisse agir en conséquence.</t>
  </si>
  <si>
    <t>Kit ROMMON</t>
  </si>
  <si>
    <t>Les adversaires peuvent abuser du ROM Monitor (ROMMON) en chargeant un micrologiciel non autorisé avec un code adversaire pour fournir un accès persistant et manipuler le comportement de l'appareil difficile à détecter.</t>
  </si>
  <si>
    <t>Démarrage TFTP</t>
  </si>
  <si>
    <t>Les adversaires peuvent abuser du démarrage réseau pour charger un système d'exploitation de périphérique réseau non autorisé à partir d'un serveur TFTP (Trivial File Transfer Protocol). Le démarrage TFTP (démarrage réseau) est couramment utilisé par les administrateurs réseau pour charger des images de périphériques réseau contrôlées par la configuration à partir d'un serveur de gestion centralisé. Le démarrage réseau est une option de la séquence de démarrage et peut être utilisé pour centraliser, gérer et contrôler les images de périphériques.</t>
  </si>
  <si>
    <t>Composant logiciel du serveur</t>
  </si>
  <si>
    <t>Les adversaires peuvent exploiter les fonctionnalités de développement extensibles légitimes des serveurs pour établir un accès permanent aux systèmes. Les applications de serveur d'entreprise peuvent inclure des fonctionnalités qui permettent aux développeurs d'écrire et d'installer des logiciels ou des scripts pour étendre les fonctionnalités de l'application principale. Les adversaires peuvent installer des composants malveillants pour étendre et exploiter les applications de serveur.</t>
  </si>
  <si>
    <t>Procédures stockées SQL</t>
  </si>
  <si>
    <t>Les adversaires peuvent abuser des procédures stockées SQL pour établir un accès permanent aux systèmes. Les procédures stockées SQL sont du code qui peut être enregistré et réutilisé afin que les utilisateurs de la base de données ne perdent pas de temps à réécrire les requêtes SQL fréquemment utilisées. Les procédures stockées peuvent être invoquées via des instructions SQL dans la base de données en utilisant le nom de la procédure ou via des événements définis (par exemple, lorsqu'une application serveur SQL est démarrée/redémarrée).</t>
  </si>
  <si>
    <t>Agent de transport</t>
  </si>
  <si>
    <t>Les adversaires peuvent exploiter les agents de transport Microsoft pour établir un accès permanent aux systèmes. Les agents de transport Microsoft Exchange peuvent fonctionner sur les messages électroniques transitant par le pipeline de transport pour effectuer diverses tâches telles que le filtrage du spam, le filtrage des pièces jointes malveillantes, la journalisation ou l'ajout d'une signature d'entreprise à la fin de tous les e-mails sortants. Les agents de transport peuvent être écrits par les développeurs d'applications, puis compilés dans des assemblages .NET qui sont ensuite enregistrés auprès du serveur Exchange. Les agents de transport seront invoqués pendant une étape spécifiée du traitement des e-mails et exécuteront des tâches définies par le développeur.</t>
  </si>
  <si>
    <t>Les adversaires peuvent utiliser des shells Web pour accéder de manière permanente aux systèmes. Un shell Web est un script Web placé sur un serveur Web accessible au public pour permettre à un adversaire d'accéder au serveur Web en tant que passerelle vers un réseau. Un shell Web peut fournir un ensemble de fonctions à exécuter ou une interface de ligne de commande sur le système qui héberge le serveur Web.</t>
  </si>
  <si>
    <t>Composants IIS</t>
  </si>
  <si>
    <t>DLL des services Terminal Server</t>
  </si>
  <si>
    <t>Les adversaires peuvent abuser des composants des services Terminal Server pour permettre un accès permanent aux systèmes. Les services Terminal Server de Microsoft, renommés services Bureau à distance dans certains systèmes d'exploitation Windows Server à partir de 2022, permettent des connexions de terminaux distants aux hôtes. Les services Terminal Server permettent aux serveurs de transmettre une interface utilisateur graphique complète et interactive aux clients via RDP.</t>
  </si>
  <si>
    <t>Signalisation routière</t>
  </si>
  <si>
    <t>Les adversaires peuvent utiliser la signalisation du trafic pour masquer les ports ouverts ou d'autres fonctionnalités malveillantes utilisées pour la persistance ou le commandement et le contrôle. La signalisation du trafic implique l'utilisation d'une valeur ou d'une séquence magique qui doit être envoyée à un système pour déclencher une réponse spéciale, telle que l'ouverture d'un port fermé ou l'exécution d'une tâche malveillante. Cela peut prendre la forme de l'envoi d'une série de paquets avec certaines caractéristiques avant qu'un port ne soit ouvert que l'adversaire peut utiliser pour le commandement et le contrôle. Habituellement, cette série de paquets se compose de tentatives de connexion à une séquence prédéfinie de ports fermés (c'est-à-dire Port Knocking ), mais peut impliquer des indicateurs inhabituels, des chaînes spécifiques ou d'autres caractéristiques uniques. Une fois la séquence terminée, l'ouverture d'un port peut être réalisée par le pare-feu basé sur l'hôte, mais peut également être implémentée par un logiciel personnalisé.</t>
  </si>
  <si>
    <t>Port de frappe</t>
  </si>
  <si>
    <t>Les adversaires peuvent utiliser le port knocking pour masquer les ports ouverts utilisés pour la persistance ou le commandement et le contrôle. Pour activer un port, un adversaire envoie une série de tentatives de connexion à une séquence prédéfinie de ports fermés. Une fois la séquence terminée, l'ouverture d'un port est souvent réalisée par le pare-feu basé sur l'hôte, mais peut également être implémentée par un logiciel personnalisé.</t>
  </si>
  <si>
    <t>Filtres de prise</t>
  </si>
  <si>
    <t>Élévation des privilèges</t>
  </si>
  <si>
    <t>Mécanisme de contrôle d'élévation des abus</t>
  </si>
  <si>
    <t>Les adversaires peuvent contourner les mécanismes conçus pour contrôler l'élévation des privilèges afin d'obtenir des autorisations de niveau supérieur. La plupart des systèmes modernes contiennent des mécanismes de contrôle d'élévation natifs destinés à limiter les privilèges qu'un utilisateur peut exécuter sur une machine. L'autorisation doit être accordée à des utilisateurs spécifiques afin d'effectuer des tâches qui peuvent être considérées comme présentant un risque plus élevé. Un adversaire peut utiliser plusieurs méthodes pour tirer parti des mécanismes de contrôle intégrés afin d'élever les privilèges sur un système.</t>
  </si>
  <si>
    <t>Setuid et Setgid</t>
  </si>
  <si>
    <t>Un adversaire peut abuser des configurations dans lesquelles une application a les bits setuid ou setgid définis afin d'exécuter du code dans un contexte utilisateur différent (et éventuellement plus privilégié). Sous Linux ou macOS, lorsque les bits setuid ou setgid sont définis pour un binaire d'application, l'application s'exécute avec les privilèges de l'utilisateur ou du groupe propriétaire respectivement. Normalement, une application est exécutée dans le contexte de l'utilisateur actuel, quel que soit l'utilisateur ou le groupe propriétaire de l'application. Cependant, il existe des cas où les programmes doivent être exécutés dans un contexte élevé pour fonctionner correctement, mais l'utilisateur qui les exécute peut ne pas disposer des privilèges spécifiques requis.</t>
  </si>
  <si>
    <t>Contourner le contrôle de compte d'utilisateur</t>
  </si>
  <si>
    <t>Les adversaires peuvent contourner les mécanismes UAC pour élever les privilèges des processus sur le système. Le contrôle de compte d'utilisateur Windows (UAC) permet à un programme d'élever ses privilèges (suivis par des niveaux d'intégrité allant de bas à élevé) pour effectuer une tâche avec des autorisations de niveau administrateur, éventuellement en demandant à l'utilisateur de confirmer. L'impact sur l'utilisateur va du refus de l'opération avec une application stricte à l'autorisation de l'utilisateur d'effectuer l'action s'il fait partie du groupe d'administrateurs locaux et clique sur l'invite ou lui permet de saisir un mot de passe administrateur pour terminer l'action.</t>
  </si>
  <si>
    <t>Sudo et la mise en cache de Sudo</t>
  </si>
  <si>
    <t>Les adversaires peuvent effectuer une mise en cache sudo et/ou utiliser le fichier sudoers pour élever les privilèges. Les adversaires peuvent le faire pour exécuter des commandes sous le nom d'autres utilisateurs ou générer des processus avec des privilèges plus élevés.</t>
  </si>
  <si>
    <t>Exécution élevée avec promptitude</t>
  </si>
  <si>
    <t>Accès temporaire au cloud surélevé</t>
  </si>
  <si>
    <t>Les adversaires peuvent abuser des configurations d'autorisation qui leur permettent d'obtenir un accès temporairement élevé aux ressources cloud. De nombreux environnements cloud permettent aux administrateurs d'accorder aux comptes d'utilisateur ou de service l'autorisation de demander un accès juste-à-temps aux rôles, d'usurper l'identité d'autres comptes, de transmettre des rôles aux ressources et aux services ou d'obtenir un accès à court terme à un ensemble de privilèges qui peuvent être différents des leurs.</t>
  </si>
  <si>
    <t>Manipulation du TCC</t>
  </si>
  <si>
    <t>Les adversaires peuvent manipuler ou abuser du service ou de la base de données Transparence, consentement et contrôle (TCC) pour accorder des autorisations élevées aux exécutables malveillants. TCC est un mécanisme de contrôle de confidentialité et de sécurité macOS utilisé pour déterminer si le processus en cours d'exécution est autorisé à accéder aux données ou aux services protégés par TCC, tels que le partage d'écran, la caméra, le microphone ou l'accès complet au disque (FDA).</t>
  </si>
  <si>
    <t>Manipulation des jetons d'accès</t>
  </si>
  <si>
    <t>Les adversaires peuvent modifier les jetons d'accès pour fonctionner sous un contexte de sécurité utilisateur ou système différent afin d'effectuer des actions et de contourner les contrôles d'accès. Windows utilise des jetons d'accès pour déterminer la propriété d'un processus en cours d'exécution. Un utilisateur peut manipuler des jetons d'accès pour faire apparaître un processus en cours d'exécution comme s'il était l'enfant d'un processus différent ou appartenait à une personne autre que l'utilisateur qui a démarré le processus. Lorsque cela se produit, le processus adopte également le contexte de sécurité associé au nouveau jeton.</t>
  </si>
  <si>
    <t>Usurpation d'identité/vol de jetons</t>
  </si>
  <si>
    <t>Créer un processus avec un jeton</t>
  </si>
  <si>
    <t>Créer et usurper un jeton</t>
  </si>
  <si>
    <t>Usurpation du PID parent</t>
  </si>
  <si>
    <t>Injection d'historique SID</t>
  </si>
  <si>
    <t>Les adversaires peuvent utiliser l'injection d'historique SID pour augmenter les privilèges et contourner les contrôles d'accès. L'identifiant de sécurité Windows (SID) est une valeur unique qui identifie un compte d'utilisateur ou de groupe. Les SID sont utilisés par la sécurité Windows dans les descripteurs de sécurité et les jetons d'accès. Un compte peut contenir des SID supplémentaires dans l'attribut Active Directory SID-History, ce qui permet une migration de compte interopérable entre les domaines (par exemple, toutes les valeurs de SID-History sont incluses dans les jetons d'accès).</t>
  </si>
  <si>
    <t>Modification de la politique du domaine ou du locataire</t>
  </si>
  <si>
    <t>Les adversaires peuvent modifier les paramètres de configuration d'un domaine ou d'un locataire d'identité pour contourner les défenses et/ou augmenter les privilèges dans les environnements gérés de manière centralisée. Ces services fournissent un moyen centralisé de gérer les ressources d'identité telles que les appareils et les comptes, et incluent souvent des paramètres de configuration qui peuvent s'appliquer entre les domaines ou les locataires tels que les relations de confiance, la synchronisation des identités ou la fédération des identités.</t>
  </si>
  <si>
    <t>Modification de la stratégie de groupe</t>
  </si>
  <si>
    <t>Modification de la confiance</t>
  </si>
  <si>
    <t>Les adversaires peuvent ajouter de nouvelles approbations de domaine, modifier les propriétés des approbations de domaine existantes ou modifier la configuration des relations d'approbation entre les domaines et les locataires pour échapper aux défenses et/ou élever les privilèges. Les détails d'approbation, tels que la fédération ou non des identités d'utilisateur, permettent aux propriétés d'authentification et d'autorisation de s'appliquer entre les domaines ou les locataires dans le but d'accéder aux ressources partagées. Ces objets d'approbation peuvent inclure des comptes, des informations d'identification et d'autres éléments d'authentification appliqués aux serveurs, aux jetons et aux domaines.</t>
  </si>
  <si>
    <t>Évadez-vous pour accueillir</t>
  </si>
  <si>
    <t>Les adversaires peuvent s'extraire d'un conteneur pour accéder à l'hôte sous-jacent. Cela peut permettre à un adversaire d'accéder à d'autres ressources conteneurisées au niveau de l'hôte ou à l'hôte lui-même. En principe, les ressources conteneurisées doivent fournir une séparation claire des fonctionnalités de l'application et être isolées de l'environnement hôte.</t>
  </si>
  <si>
    <t>Exploitation pour l'escalade des privilèges</t>
  </si>
  <si>
    <t>Les adversaires peuvent exploiter les vulnérabilités logicielles pour tenter d'élever leurs privilèges. L'exploitation d'une vulnérabilité logicielle se produit lorsqu'un adversaire profite d'une erreur de programmation dans un programme, un service ou dans le logiciel du système d'exploitation ou le noyau lui-même pour exécuter un code contrôlé par l'adversaire. Les structures de sécurité telles que les niveaux d'autorisation entravent souvent l'accès aux informations et l'utilisation de certaines techniques, de sorte que les adversaires devront probablement procéder à une élévation des privilèges pour inclure l'utilisation de l'exploitation logicielle afin de contourner ces restrictions.</t>
  </si>
  <si>
    <t>Injection de processus</t>
  </si>
  <si>
    <t>Les adversaires peuvent injecter du code dans les processus afin d'échapper aux défenses basées sur les processus et éventuellement d'élever les privilèges. L'injection de processus est une méthode d'exécution de code arbitraire dans l'espace d'adressage d'un processus actif distinct. L'exécution de code dans le contexte d'un autre processus peut permettre l'accès à la mémoire du processus, aux ressources système/réseau et éventuellement à des privilèges élevés. L'exécution via l'injection de processus peut également échapper à la détection des produits de sécurité puisque l'exécution est masquée sous un processus légitime.</t>
  </si>
  <si>
    <t>Injection de bibliothèque de liens dynamiques</t>
  </si>
  <si>
    <t>Les adversaires peuvent injecter des bibliothèques de liens dynamiques (DLL) dans les processus afin d'échapper aux défenses basées sur les processus et éventuellement d'élever les privilèges. L'injection de DLL est une méthode d'exécution de code arbitraire dans l'espace d'adressage d'un processus actif distinct.</t>
  </si>
  <si>
    <t>Injection d'exécutable portable</t>
  </si>
  <si>
    <t>Les adversaires peuvent injecter des exécutables portables (PE) dans les processus afin d'échapper aux défenses basées sur les processus et éventuellement d'élever les privilèges. L'injection PE est une méthode d'exécution de code arbitraire dans l'espace d'adressage d'un processus actif distinct.</t>
  </si>
  <si>
    <t>Détournement d'exécution de thread</t>
  </si>
  <si>
    <t>Les adversaires peuvent injecter du code malveillant dans les processus piratés afin d'échapper aux défenses basées sur les processus et éventuellement d'élever les privilèges. Le détournement d'exécution de thread est une méthode d'exécution de code arbitraire dans l'espace d'adressage d'un processus actif distinct.</t>
  </si>
  <si>
    <t>Appel de procédure asynchrone</t>
  </si>
  <si>
    <t>Les adversaires peuvent injecter du code malveillant dans les processus via la file d'attente d'appels de procédure asynchrone (APC) afin d'échapper aux défenses basées sur les processus et éventuellement d'élever les privilèges. L'injection APC est une méthode d'exécution de code arbitraire dans l'espace d'adressage d'un processus actif distinct.</t>
  </si>
  <si>
    <t>Stockage local des threads</t>
  </si>
  <si>
    <t>Les adversaires peuvent injecter du code malveillant dans les processus via des rappels de stockage local de thread (TLS) afin d'échapper aux défenses basées sur les processus et éventuellement d'élever les privilèges. L'injection de rappel TLS est une méthode d'exécution de code arbitraire dans l'espace d'adressage d'un processus actif distinct.</t>
  </si>
  <si>
    <t>Appels système Ptrace</t>
  </si>
  <si>
    <t>Les adversaires peuvent injecter du code malveillant dans les processus via des appels système ptrace (trace de processus) afin d'échapper aux défenses basées sur les processus et éventuellement d'élever les privilèges. L'injection d'appels système ptrace est une méthode d'exécution de code arbitraire dans l'espace d'adressage d'un processus actif distinct.</t>
  </si>
  <si>
    <t>Mémoire de procédure</t>
  </si>
  <si>
    <t>Les adversaires peuvent injecter du code malveillant dans les processus via le système de fichiers /proc afin d'échapper aux défenses basées sur les processus et éventuellement d'élever les privilèges. L'injection de mémoire proc est une méthode d'exécution de code arbitraire dans l'espace d'adressage d'un processus actif distinct.</t>
  </si>
  <si>
    <t>Injection de mémoire de fenêtre supplémentaire</t>
  </si>
  <si>
    <t>Les adversaires peuvent injecter du code malveillant dans un processus via la mémoire de fenêtre supplémentaire (EWM) afin d'échapper aux défenses basées sur les processus et éventuellement d'élever les privilèges. L'injection EWM est une méthode d'exécution de code arbitraire dans l'espace d'adressage d'un processus actif distinct.</t>
  </si>
  <si>
    <t>Processus de creusement</t>
  </si>
  <si>
    <t>Les adversaires peuvent injecter du code malveillant dans des processus suspendus et vidés afin d'échapper aux défenses basées sur les processus. Le vidage de processus est une méthode d'exécution de code arbitraire dans l'espace d'adressage d'un processus actif distinct.</t>
  </si>
  <si>
    <t>Processus Doppelgänging</t>
  </si>
  <si>
    <t>Les adversaires peuvent injecter du code malveillant dans un processus via le processus doppelgänging afin d'échapper aux défenses basées sur le processus et éventuellement d'élever les privilèges. Le processus doppelgänging est une méthode d'exécution de code arbitraire dans l'espace d'adressage d'un processus actif distinct.</t>
  </si>
  <si>
    <t>Détournement du VDSO</t>
  </si>
  <si>
    <t>Les adversaires peuvent injecter du code malveillant dans les processus via le détournement VDSO afin d'échapper aux défenses basées sur les processus et éventuellement d'élever les privilèges. Le détournement d'objet partagé dynamique virtuel (vdso) est une méthode d'exécution de code arbitraire dans l'espace d'adressage d'un processus actif distinct.</t>
  </si>
  <si>
    <t>ListePlantation</t>
  </si>
  <si>
    <t>Les adversaires peuvent abuser des contrôles de liste d'affichage pour injecter du code malveillant dans les processus piratés afin d'échapper aux défenses basées sur les processus et éventuellement d'élever les privilèges. ListPlanting est une méthode d'exécution de code arbitraire dans l'espace d'adressage d'un processus actif distinct. Le code exécuté via ListPlanting peut également échapper à la détection des produits de sécurité puisque l'exécution est masquée sous un processus légitime.</t>
  </si>
  <si>
    <t>Évasion défensive</t>
  </si>
  <si>
    <t>Créer une image sur l'hôte</t>
  </si>
  <si>
    <t>Évasion du débogueur</t>
  </si>
  <si>
    <t>Les adversaires peuvent employer divers moyens pour détecter et éviter les débogueurs. Les défenseurs utilisent généralement les débogueurs pour tracer et/ou analyser l'exécution de charges utiles potentielles de logiciels malveillants.</t>
  </si>
  <si>
    <t>Désobfusquer/décoder des fichiers ou des informations</t>
  </si>
  <si>
    <t>Les adversaires peuvent utiliser des fichiers ou des informations obscurcis pour masquer les artefacts d'une intrusion à l'analyse. Ils peuvent avoir besoin de mécanismes distincts pour décoder ou désobscurcir ces informations en fonction de l'utilisation qu'ils souhaitent en faire. Les méthodes permettant d'y parvenir incluent les fonctionnalités intégrées des logiciels malveillants ou l'utilisation d'utilitaires présents sur le système.</t>
  </si>
  <si>
    <t>Accès direct au volume</t>
  </si>
  <si>
    <t>Les adversaires peuvent accéder directement à un volume pour contourner les contrôles d'accès aux fichiers et la surveillance du système de fichiers. Windows permet aux programmes d'accéder directement aux volumes logiques. Les programmes avec accès direct peuvent lire et écrire des fichiers directement à partir du lecteur en analysant les structures de données du système de fichiers. Cette technique peut contourner les contrôles d'accès aux fichiers de Windows ainsi que les outils de surveillance du système de fichiers.</t>
  </si>
  <si>
    <t>Garde-fous d'exécution</t>
  </si>
  <si>
    <t>Les adversaires peuvent utiliser des garde-fous d'exécution pour limiter l'exécution ou les actions en fonction des conditions spécifiques fournies par l'adversaire et de l'environnement qui devraient être présentes sur la cible. Les garde-fous garantissent qu'une charge utile ne s'exécute que contre une cible prévue et réduisent les dommages collatéraux de la campagne d'un adversaire. Les valeurs qu'un adversaire peut fournir sur un système ou un environnement cible à utiliser comme garde-fous peuvent inclure des noms de partage réseau spécifiques, des périphériques physiques connectés, des fichiers, des domaines Active Directory (AD) joints et des adresses IP locales/externes.</t>
  </si>
  <si>
    <t>Clé environnementale</t>
  </si>
  <si>
    <t>Les adversaires peuvent utiliser des clés environnementales pour les charges utiles ou d'autres fonctionnalités des programmes malveillants afin d'échapper aux défenses et de limiter l'exécution à un environnement cible spécifique. La clé environnementale utilise la cryptographie pour limiter l'exécution ou les actions en fonction des conditions environnementales spécifiques fournies par l'adversaire qui devraient être présentes sur la cible. La clé environnementale est une implémentation des garde-fous d'exécution qui utilise des techniques cryptographiques pour dériver des clés de chiffrement/déchiffrement à partir de types de valeurs spécifiques dans un environnement informatique donné.</t>
  </si>
  <si>
    <t>Exclusion mutuelle</t>
  </si>
  <si>
    <t>Les adversaires peuvent restreindre l'exécution ou les actions en fonction de la présence d'un mutex associé à un logiciel malveillant. Un mutex est un mécanisme de verrouillage utilisé pour synchroniser l'accès à une ressource. Un seul thread ou processus peut acquérir un mutex à un moment donné.</t>
  </si>
  <si>
    <t>Exploitation à des fins d'évasion défensive</t>
  </si>
  <si>
    <t>Les adversaires peuvent exploiter une vulnérabilité du système ou de l'application pour contourner les fonctions de sécurité. L'exploitation d'une vulnérabilité se produit lorsqu'un adversaire profite d'une erreur de programmation dans un programme, un service ou dans le logiciel du système d'exploitation ou le noyau lui-même pour exécuter un code contrôlé par l'adversaire. Des vulnérabilités peuvent exister dans les logiciels de sécurité défensive qui peuvent être utilisés pour les désactiver ou les contourner.</t>
  </si>
  <si>
    <t>Modification des autorisations de fichiers et de répertoires</t>
  </si>
  <si>
    <t>Les adversaires peuvent modifier les autorisations/attributs des fichiers ou des répertoires pour contourner les listes de contrôle d'accès (ACL) et accéder aux fichiers protégés. Les autorisations des fichiers et des répertoires sont généralement gérées par des ACL configurées par le propriétaire du fichier ou du répertoire, ou par les utilisateurs disposant des autorisations appropriées. Les implémentations ACL des fichiers et des répertoires varient selon la plateforme, mais désignent généralement explicitement quels utilisateurs ou groupes peuvent effectuer quelles actions (lecture, écriture, exécution, etc.).</t>
  </si>
  <si>
    <t>Modification des autorisations des fichiers et des répertoires Windows</t>
  </si>
  <si>
    <t>Modification des autorisations de fichiers et de répertoires sous Linux et Mac</t>
  </si>
  <si>
    <t>Masquer les artefacts</t>
  </si>
  <si>
    <t>Les adversaires peuvent tenter de masquer des artefacts associés à leurs comportements pour échapper à la détection. Les systèmes d'exploitation peuvent disposer de fonctionnalités permettant de masquer divers artefacts, tels que des fichiers système importants et l'exécution de tâches administratives, afin d'éviter de perturber les environnements de travail des utilisateurs et d'empêcher ces derniers de modifier des fichiers ou des fonctionnalités sur le système. Les adversaires peuvent abuser de ces fonctionnalités pour masquer des artefacts tels que des fichiers, des répertoires, des comptes d'utilisateur ou d'autres activités système pour échapper à la détection.</t>
  </si>
  <si>
    <t>Fichiers et répertoires cachés</t>
  </si>
  <si>
    <t>Utilisateurs cachés</t>
  </si>
  <si>
    <t>Les adversaires peuvent utiliser des utilisateurs masqués pour masquer la présence des comptes d'utilisateurs qu'ils créent ou modifient. Les administrateurs peuvent vouloir masquer des utilisateurs lorsqu'il existe de nombreux comptes d'utilisateurs sur un système donné ou s'ils souhaitent masquer leurs comptes administratifs ou autres comptes de gestion aux autres utilisateurs.</t>
  </si>
  <si>
    <t>Fenêtre cachée</t>
  </si>
  <si>
    <t>Les adversaires peuvent utiliser des fenêtres cachées pour dissimuler une activité malveillante à la vue des utilisateurs. Dans certains cas, les fenêtres qui s'affichent normalement lorsqu'une application exécute une opération peuvent être masquées. Cela peut être utilisé par les administrateurs système pour éviter de perturber l'environnement de travail des utilisateurs lors de l'exécution de tâches administratives.</t>
  </si>
  <si>
    <t>Attributs de fichier NTFS</t>
  </si>
  <si>
    <t>Les pirates peuvent utiliser les attributs de fichiers NTFS pour masquer leurs données malveillantes afin d'échapper à la détection. Chaque partition formatée en NTFS (New Technology File System) contient une table de fichiers maîtres (MFT) qui conserve un enregistrement pour chaque fichier/répertoire de la partition. Les entrées MFT contiennent des attributs de fichiers, tels que les attributs étendus (EA) et les données [appelés flux de données alternatifs (ADS) lorsque plusieurs attributs de données sont présents], qui peuvent être utilisés pour stocker des données arbitraires (et même des fichiers complets).</t>
  </si>
  <si>
    <t>Système de fichiers cachés</t>
  </si>
  <si>
    <t>Les adversaires peuvent utiliser un système de fichiers caché pour dissimuler une activité malveillante aux utilisateurs et aux outils de sécurité. Les systèmes de fichiers fournissent une structure pour stocker et accéder aux données à partir du stockage physique. En règle générale, un utilisateur interagit avec un système de fichiers via des applications qui lui permettent d'accéder à des fichiers et des répertoires, qui sont une abstraction de leur emplacement physique (ex : secteur de disque). Les systèmes de fichiers standard incluent FAT, NTFS, ext4 et APFS. Les systèmes de fichiers peuvent également contenir d'autres structures, telles que le Volume Boot Record (VBR) et la Master File Table (MFT) dans NTFS.</t>
  </si>
  <si>
    <t>Exécuter une instance virtuelle</t>
  </si>
  <si>
    <t>Les adversaires peuvent effectuer des opérations malveillantes à l'aide d'une instance virtuelle pour éviter d'être détectés. Il existe une grande variété de technologies de virtualisation qui permettent l'émulation d'un ordinateur ou d'un environnement informatique. En exécutant un code malveillant à l'intérieur d'une instance virtuelle, les adversaires peuvent masquer les artefacts associés à leur comportement aux outils de sécurité qui ne sont pas en mesure de surveiller l'activité à l'intérieur de l'instance virtuelle. De plus, en fonction de l'implémentation du réseau virtuel (ex. : adaptateur ponté), le trafic réseau généré par l'instance virtuelle peut être difficile à retracer jusqu'à l'hôte compromis, car l'adresse IP et le nom d'hôte peuvent ne pas correspondre aux valeurs connues.</t>
  </si>
  <si>
    <t>Piétinement VBA</t>
  </si>
  <si>
    <t>Les adversaires peuvent masquer des charges utiles malveillantes Visual Basic pour Applications (VBA) intégrées dans des documents MS Office en remplaçant le code source VBA par des données bénignes.</t>
  </si>
  <si>
    <t>Règles de masquage des e-mails</t>
  </si>
  <si>
    <t>Fourche de ressources</t>
  </si>
  <si>
    <t>Usurpation d'argument de processus</t>
  </si>
  <si>
    <t>Les adversaires peuvent tenter de masquer les arguments de ligne de commande du processus en écrasant la mémoire du processus. Les arguments de ligne de commande du processus sont stockés dans le bloc d'environnement de processus (PEB), une structure de données utilisée par Windows pour stocker diverses informations sur/utilisées par un processus. Le PEB inclut les arguments de ligne de commande du processus qui sont référencés lors de l'exécution du processus. Lorsqu'un processus est créé, les outils/capteurs défensifs qui surveillent les créations de processus peuvent récupérer les arguments du processus à partir du PEB.</t>
  </si>
  <si>
    <t>Ignorer les interruptions de processus</t>
  </si>
  <si>
    <t>Les adversaires peuvent échapper aux mécanismes de défense en exécutant des commandes qui se cachent des signaux d'interruption de processus. De nombreux systèmes d'exploitation utilisent des signaux pour transmettre des messages afin de contrôler le comportement des processus. Les interpréteurs de commandes incluent souvent des commandes/indicateurs spécifiques qui ignorent les erreurs et autres blocages, par exemple lorsque l'utilisateur de la session active se déconnecte. Ces signaux d'interruption peuvent également être utilisés par des outils de défense et/ou des analystes pour suspendre ou mettre fin à des processus en cours d'exécution spécifiés.</t>
  </si>
  <si>
    <t>Exclusions de fichiers/chemins</t>
  </si>
  <si>
    <t>Les adversaires peuvent tenter de masquer leurs artefacts basés sur des fichiers en les écrivant dans des dossiers ou des noms de fichiers spécifiques exclus de l'analyse antivirus (AV) et d'autres fonctions défensives. Les antivirus et autres scanners basés sur des fichiers incluent souvent des exclusions pour optimiser les performances ainsi que pour faciliter l'installation et l'utilisation légitime des applications. Ces exclusions peuvent être contextuelles (par exemple, les analyses ne sont lancées qu'en réponse à des événements/alertes déclencheurs spécifiques), mais sont également souvent des chaînes codées en dur référençant des dossiers et/ou des fichiers spécifiques supposés fiables et légitimes.</t>
  </si>
  <si>
    <t>Affaiblissement des défenses</t>
  </si>
  <si>
    <t>Les adversaires peuvent modifier de manière malveillante les composants de l'environnement d'une victime afin de gêner ou de désactiver les mécanismes de défense. Cela implique non seulement de compromettre les défenses préventives, telles que les pare-feu et les antivirus, mais également les capacités de détection que les défenseurs peuvent utiliser pour auditer l'activité et identifier les comportements malveillants. Cela peut également concerner à la fois les défenses natives et les capacités supplémentaires installées par les utilisateurs et les administrateurs.</t>
  </si>
  <si>
    <t>Désactiver ou modifier les outils</t>
  </si>
  <si>
    <t>Les adversaires peuvent modifier et/ou désactiver les outils de sécurité pour éviter une éventuelle détection de leurs programmes malveillants/outils et activités. Cela peut prendre de nombreuses formes, comme la suppression des processus ou services du logiciel de sécurité, la modification/suppression des clés de registre ou des fichiers de configuration afin que les outils ne fonctionnent pas correctement, ou d'autres méthodes pour interférer avec l'analyse ou la génération d'informations par les outils de sécurité. Les adversaires peuvent également désactiver les mises à jour pour empêcher les derniers correctifs de sécurité d'atteindre les outils sur les systèmes des victimes.</t>
  </si>
  <si>
    <t>Désactiver la journalisation des événements Windows</t>
  </si>
  <si>
    <t>Les adversaires peuvent désactiver la journalisation des événements Windows pour limiter les données pouvant être exploitées pour les détections et les audits. Les journaux d'événements Windows enregistrent l'activité des utilisateurs et du système, comme les tentatives de connexion, la création de processus et bien plus encore. Ces données sont utilisées par les outils de sécurité et les analystes pour générer des détections.</t>
  </si>
  <si>
    <t>Journalisation de l'historique des commandes Impair</t>
  </si>
  <si>
    <t>Les adversaires peuvent altérer la journalisation de l'historique des commandes pour masquer les commandes qu'ils exécutent sur un système compromis. Divers interpréteurs de commandes gardent une trace des commandes que les utilisateurs saisissent dans leur terminal afin que ces derniers puissent retracer ce qu'ils ont fait.</t>
  </si>
  <si>
    <t>Désactiver ou modifier le pare-feu du système</t>
  </si>
  <si>
    <t>Les adversaires peuvent désactiver ou modifier les pare-feu du système afin de contourner les contrôles limitant l'utilisation du réseau. Les modifications peuvent consister à désactiver l'ensemble du mécanisme ainsi qu'à ajouter, supprimer ou modifier des règles particulières. Cela peut être effectué de plusieurs manières en fonction du système d'exploitation, notamment via la ligne de commande, la modification des clés de registre Windows et le panneau de configuration Windows.</t>
  </si>
  <si>
    <t>Blocage de l'indicateur</t>
  </si>
  <si>
    <t>Désactiver ou modifier le pare-feu cloud</t>
  </si>
  <si>
    <t>Les adversaires peuvent désactiver ou modifier un pare-feu dans un environnement cloud pour contourner les contrôles qui limitent l'accès aux ressources cloud. Les pare-feu cloud sont distincts des pare-feu système décrits dans Désactiver ou modifier le pare-feu système .</t>
  </si>
  <si>
    <t>Désactiver ou modifier les journaux cloud</t>
  </si>
  <si>
    <t>Un adversaire peut désactiver ou modifier les fonctionnalités et les intégrations de journalisation dans le cloud pour limiter les données collectées sur ses activités et éviter d'être détecté. Les environnements cloud permettent la collecte et l'analyse des journaux d'audit et d'application qui donnent un aperçu des activités d'un utilisateur dans l'environnement. Si un adversaire dispose des autorisations suffisantes, il peut désactiver ou modifier la journalisation pour éviter la détection de ses activités.</t>
  </si>
  <si>
    <t>Démarrage en mode sans échec</t>
  </si>
  <si>
    <t>Les adversaires peuvent abuser du mode sans échec de Windows pour désactiver les défenses des points de terminaison. Le mode sans échec démarre le système d'exploitation Windows avec un ensemble limité de pilotes et de services. Les logiciels de sécurité tiers tels que les outils de détection et de réponse aux points de terminaison (EDR) peuvent ne pas démarrer après le démarrage de Windows en mode sans échec. Il existe deux versions du mode sans échec : le mode sans échec et le mode sans échec avec mise en réseau. Il est possible de démarrer des services supplémentaires après un démarrage en mode sans échec.</t>
  </si>
  <si>
    <t>Attaque de rétrogradation</t>
  </si>
  <si>
    <t>Les adversaires peuvent rétrograder ou utiliser une version des fonctionnalités du système qui peut être obsolète, vulnérable et/ou ne pas prendre en charge les contrôles de sécurité mis à jour. Les attaques de rétrogradation profitent généralement de la rétrocompatibilité d'un système pour le forcer à adopter des modes de fonctionnement moins sécurisés.</t>
  </si>
  <si>
    <t>Alerte de sécurité contre les usurpations d'identité</t>
  </si>
  <si>
    <t>Les adversaires peuvent usurper les alertes de sécurité émises par les outils, en présentant de fausses preuves pour empêcher les défenseurs de détecter une activité malveillante. Les messages produits par les outils de défense contiennent des informations sur les événements de sécurité potentiels ainsi que sur l'état de fonctionnement du logiciel de sécurité et du système. Les messages de rapport de sécurité sont importants pour surveiller le fonctionnement normal d'un système et identifier les événements importants qui peuvent signaler un incident de sécurité.</t>
  </si>
  <si>
    <t>Désactiver ou modifier le système d'audit Linux</t>
  </si>
  <si>
    <t>Les adversaires peuvent désactiver ou modifier le système d'audit Linux pour masquer les activités malveillantes et éviter d'être détectés. Les administrateurs Linux utilisent le système d'audit Linux pour suivre les informations relatives à la sécurité sur un système. Le système d'audit Linux fonctionne au niveau du noyau et conserve les journaux d'événements sur l'activité des applications et du système, tels que les événements de processus, de réseau, de fichier et de connexion, en fonction de règles préconfigurées.</t>
  </si>
  <si>
    <t>Imitation</t>
  </si>
  <si>
    <t>Retrait de l'indicateur</t>
  </si>
  <si>
    <t>Les adversaires peuvent supprimer ou modifier les artefacts générés dans les systèmes pour supprimer les preuves de leur présence ou entraver les défenses. Divers artefacts peuvent être créés par un adversaire ou être attribués aux actions d'un adversaire. En général, ces artefacts sont utilisés comme indicateurs défensifs liés aux événements surveillés, tels que les chaînes de fichiers téléchargés, les journaux générés à partir des actions des utilisateurs et d'autres données analysées par les défenseurs. L'emplacement, le format et le type d'artefact (comme l'historique des commandes ou des connexions) sont souvent spécifiques à chaque plate-forme.</t>
  </si>
  <si>
    <t>Effacer les journaux d'événements Windows</t>
  </si>
  <si>
    <t>Les adversaires peuvent effacer les journaux d'événements Windows pour masquer l'activité d'une intrusion. Les journaux d'événements Windows sont un enregistrement des alertes et des notifications d'un ordinateur. Il existe trois sources d'événements définies par le système : Système, Application et Sécurité, avec cinq types d'événements : Erreur, Avertissement, Informations, Audit de réussite et Audit d'échec.</t>
  </si>
  <si>
    <t>Effacer les journaux système Linux ou Mac</t>
  </si>
  <si>
    <t>Effacer l'historique des commandes</t>
  </si>
  <si>
    <t>En plus d'effacer les journaux système, un adversaire peut effacer l'historique des commandes d'un compte compromis pour masquer les actions entreprises lors d'une intrusion. Divers interpréteurs de commandes gardent une trace des commandes que les utilisateurs tapent dans leur terminal afin que ces derniers puissent retracer ce qu'ils ont fait.</t>
  </si>
  <si>
    <t>Suppression de fichiers</t>
  </si>
  <si>
    <t>Les adversaires peuvent supprimer les fichiers laissés par les actions de leur activité d'intrusion. Les logiciels malveillants, les outils ou d'autres fichiers non natifs déposés ou créés sur un système par un adversaire (ex : Ingress Tool Transfer ) peuvent laisser des traces indiquant ce qui a été fait au sein d'un réseau et comment. La suppression de ces fichiers peut se produire pendant une intrusion ou dans le cadre d'un processus post-intrusion pour minimiser l'empreinte de l'adversaire.</t>
  </si>
  <si>
    <t>Suppression de la connexion au partage réseau</t>
  </si>
  <si>
    <t>Horodatage</t>
  </si>
  <si>
    <t>Les pirates peuvent modifier les attributs de temps des fichiers pour masquer les nouveaux fichiers ou les modifications apportées aux fichiers existants. Le timestomping est une technique qui modifie les horodatages d'un fichier (les heures de modification, d'accès, de création et de modification), souvent pour imiter les fichiers qui se trouvent dans le même dossier et mélanger les fichiers malveillants avec les fichiers légitimes.</t>
  </si>
  <si>
    <t>Effacer l'historique et les configurations des connexions réseau</t>
  </si>
  <si>
    <t>Effacer les données de la boîte aux lettres</t>
  </si>
  <si>
    <t>Les adversaires peuvent modifier les données de messagerie et d'application de messagerie pour supprimer les preuves de leur activité. Les applications de messagerie permettent aux utilisateurs et à d'autres programmes d'exporter et de supprimer les données de boîte aux lettres via des outils de ligne de commande ou l'utilisation d'API. Les données d'application de messagerie peuvent être des e-mails, des métadonnées d'e-mail ou des journaux générés par l'application ou le système d'exploitation, tels que des demandes d'exportation.</t>
  </si>
  <si>
    <t>Persistance claire</t>
  </si>
  <si>
    <t>Déplacer les logiciels malveillants</t>
  </si>
  <si>
    <t>Une fois la charge utile distribuée, les adversaires peuvent reproduire des copies du même malware sur le système de la victime pour supprimer les preuves de leur présence et/ou contourner les défenses. La copie des charges utiles du malware vers de nouveaux emplacements peut également être combinée à la suppression de fichiers pour nettoyer les anciens artefacts.</t>
  </si>
  <si>
    <t>Exécution de commande indirecte</t>
  </si>
  <si>
    <t>Mascarade</t>
  </si>
  <si>
    <t>Les adversaires peuvent tenter de manipuler les caractéristiques de leurs artefacts pour les faire apparaître comme légitimes ou inoffensifs aux yeux des utilisateurs et/ou des outils de sécurité. Le masquage se produit lorsque le nom ou l'emplacement d'un objet, légitime ou malveillant, est manipulé ou détourné dans le but d'échapper aux défenses et à l'observation. Cela peut inclure la manipulation des métadonnées de fichier, la tromperie des utilisateurs pour qu'ils identifient mal le type de fichier et l'attribution de noms de tâches ou de services légitimes.</t>
  </si>
  <si>
    <t>Signature de code invalide</t>
  </si>
  <si>
    <t>Les adversaires peuvent tenter d'imiter les caractéristiques des signatures de code valides pour augmenter les chances de tromper un utilisateur, un analyste ou un outil. La signature de code fournit un niveau d'authenticité sur un binaire du développeur et une garantie que le binaire n'a pas été falsifié. Les adversaires peuvent copier les métadonnées et les informations de signature d'un programme signé, puis les utiliser comme modèle pour un programme non signé. Les fichiers avec des signatures de code non valides échoueront aux contrôles de validation de signature numérique, mais ils peuvent sembler plus légitimes aux utilisateurs et les outils de sécurité peuvent gérer ces fichiers de manière incorrecte.</t>
  </si>
  <si>
    <t>Remplacement de droite à gauche</t>
  </si>
  <si>
    <t>Renommer les utilitaires système</t>
  </si>
  <si>
    <t>Tâche ou service de mascarade</t>
  </si>
  <si>
    <t>Les adversaires peuvent tenter de manipuler le nom d'une tâche ou d'un service pour le faire apparaître comme légitime ou bénin. Les tâches/services exécutés par le planificateur de tâches ou systemd se voient généralement attribuer un nom et/ou une description. Les services Windows ont un nom de service ainsi qu'un nom d'affichage. De nombreuses tâches et services bénins ont des noms communément associés. Les adversaires peuvent donner des noms de tâches ou de services similaires ou identiques à ceux des tâches ou des services légitimes.</t>
  </si>
  <si>
    <t>Faites correspondre un nom ou un emplacement légitime</t>
  </si>
  <si>
    <t>Les adversaires peuvent faire correspondre ou approcher le nom ou l'emplacement de fichiers ou de ressources légitimes lors de leur dénomination/placement. Cela est fait dans le but d'échapper aux défenses et à l'observation. Cela peut être fait en plaçant un exécutable dans un répertoire généralement approuvé (ex : sous System32) ou en lui donnant le nom d'un programme légitime et approuvé (ex : svchost.exe). Dans les environnements conteneurisés, cela peut également être fait en créant une ressource dans un espace de noms qui correspond à la convention de dénomination d'un pod ou d'un cluster de conteneurs. Alternativement, un nom de fichier ou d'image de conteneur donné peut être une approximation proche de programmes/images légitimes ou quelque chose d'inoffensif.</t>
  </si>
  <si>
    <t>Espace après le nom de fichier</t>
  </si>
  <si>
    <t>Les pirates peuvent masquer le véritable type de fichier d'un programme en modifiant l'extension d'un fichier. Avec certains types de fichiers (cela ne fonctionne pas avec les extensions .app en particulier), l'ajout d'un espace à la fin d'un nom de fichier modifiera la manière dont le fichier est traité par le système d'exploitation.</t>
  </si>
  <si>
    <t>Extension de fichier double</t>
  </si>
  <si>
    <t>Type de fichier de mascarade</t>
  </si>
  <si>
    <t>Briser les arbres de processus</t>
  </si>
  <si>
    <t>Un adversaire peut tenter d'échapper à l'analyse basée sur l'arborescence des processus en modifiant l'ID de processus parent (PPID) du logiciel malveillant exécuté. Si le logiciel de protection des terminaux exploite la relation « parent-enfant » pour la détection, la rupture de cette relation peut entraîner le fait que le comportement de l'adversaire ne soit pas associé à l'activité de l'arborescence des processus précédente. Sur les systèmes basés sur Unix, la rupture de cette arborescence de processus est une pratique courante pour les administrateurs qui exécutent des logiciels à l'aide de scripts et de programmes.</t>
  </si>
  <si>
    <t>Nom du compte de mascarade</t>
  </si>
  <si>
    <t>Modifier l'infrastructure de Cloud Computing</t>
  </si>
  <si>
    <t>Un adversaire peut tenter de modifier l'infrastructure de service de calcul d'un compte cloud pour échapper aux défenses. Une modification de l'infrastructure de service de calcul peut inclure la création, la suppression ou la modification d'un ou plusieurs composants tels que des instances de calcul, des machines virtuelles et des snapshots.</t>
  </si>
  <si>
    <t>Créer un instantané</t>
  </si>
  <si>
    <t>Un adversaire peut créer un instantané ou une sauvegarde de données dans un compte cloud pour échapper aux défenses. Un instantané est une copie ponctuelle d'un composant de calcul cloud existant, tel qu'une machine virtuelle (VM), un disque dur virtuel ou un volume. Un adversaire peut exploiter les autorisations pour créer un instantané afin de contourner les restrictions qui empêchent l'accès à l'infrastructure de service de calcul existante, contrairement à Revert Cloud Instance où un adversaire peut revenir à un instantané pour échapper à la détection et supprimer les preuves de sa présence.</t>
  </si>
  <si>
    <t>Créer une instance cloud</t>
  </si>
  <si>
    <t>Supprimer l'instance Cloud</t>
  </si>
  <si>
    <t>Un adversaire peut supprimer une instance cloud après avoir effectué des activités malveillantes dans le but d'échapper à la détection et de supprimer les preuves de sa présence. La suppression d'une instance ou d'une machine virtuelle peut supprimer des artefacts médico-légaux précieux et d'autres preuves de comportement suspect si l'instance n'est pas récupérable.</t>
  </si>
  <si>
    <t>Rétablir l'instance Cloud</t>
  </si>
  <si>
    <t>Un adversaire peut annuler les modifications apportées à une instance cloud après avoir effectué des activités malveillantes pour tenter d'échapper à la détection et supprimer les preuves de sa présence. Dans les environnements hautement virtualisés, tels que les infrastructures basées sur le cloud, cela peut être accompli en restaurant des instantanés de machine virtuelle (VM) ou de stockage de données via le tableau de bord de gestion du cloud ou les API cloud.</t>
  </si>
  <si>
    <t>Modifier les configurations de Cloud Compute</t>
  </si>
  <si>
    <t>Les adversaires peuvent modifier les paramètres qui affectent directement la taille, les emplacements et les ressources disponibles pour l'infrastructure de calcul cloud afin d'échapper aux défenses. Ces paramètres peuvent inclure des quotas de service, des associations d'abonnement, des politiques à l'échelle du locataire ou d'autres configurations qui ont un impact sur le calcul disponible. De telles modifications peuvent permettre aux adversaires d'abuser des ressources de calcul de la victime pour atteindre leurs objectifs, potentiellement sans affecter l'exécution des instances en cours d'exécution et/ou révéler leurs activités à la victime.</t>
  </si>
  <si>
    <t>Modifier la hiérarchie des ressources cloud</t>
  </si>
  <si>
    <t>Les adversaires peuvent tenter de modifier les structures hiérarchiques dans les environnements d’infrastructure en tant que service (IaaS) afin d’échapper aux défenses.</t>
  </si>
  <si>
    <t>Modifier le registre</t>
  </si>
  <si>
    <t>Les adversaires peuvent interagir avec le registre Windows pour masquer les informations de configuration dans les clés de registre, supprimer des informations dans le cadre du nettoyage ou dans le cadre d’autres techniques pour faciliter la persistance et l’exécution.</t>
  </si>
  <si>
    <t>Modifier l'image du système</t>
  </si>
  <si>
    <t>Les adversaires peuvent modifier le système d'exploitation des périphériques réseau intégrés pour affaiblir les défenses et se doter de nouvelles fonctionnalités. Sur ces périphériques, les systèmes d'exploitation sont généralement monolithiques et la plupart des fonctionnalités et capacités du périphérique sont contenues dans un seul fichier.</t>
  </si>
  <si>
    <t>Image du système de correctifs</t>
  </si>
  <si>
    <t>Les adversaires peuvent modifier le système d'exploitation d'un périphérique réseau pour introduire de nouvelles fonctionnalités ou affaiblir les défenses existantes. Certains périphériques réseau sont construits avec une architecture monolithique, où l'ensemble du système d'exploitation et la plupart des fonctionnalités du périphérique sont contenus dans un seul fichier. Les adversaires peuvent modifier ce fichier dans le stockage, pour qu'il soit chargé lors d'un démarrage ultérieur, ou dans la mémoire pendant l'exécution.</t>
  </si>
  <si>
    <t>Rétrograder l'image système</t>
  </si>
  <si>
    <t>Les adversaires peuvent installer une ancienne version du système d'exploitation d'un périphérique réseau pour affaiblir la sécurité. Les anciennes versions du système d'exploitation sur les périphériques réseau ont souvent des algorithmes de chiffrement plus faibles et, en général, des fonctionnalités défensives moins nombreuses ou moins mises à jour.</t>
  </si>
  <si>
    <t>Pontage des limites du réseau</t>
  </si>
  <si>
    <t>Les adversaires peuvent franchir les limites du réseau en compromettant les périphériques du réseau périphérique ou les périphériques internes responsables de la segmentation du réseau. La violation de ces périphériques peut permettre à un adversaire de contourner les restrictions sur le routage du trafic qui séparent les réseaux approuvés et non approuvés.</t>
  </si>
  <si>
    <t>Traversée de traduction d'adresses réseau</t>
  </si>
  <si>
    <t>Les adversaires peuvent franchir les limites du réseau en modifiant la configuration de traduction d'adresses réseau (NAT) d'un périphérique réseau. Des modifications malveillantes apportées à NAT peuvent permettre à un adversaire de contourner les restrictions sur le routage du trafic qui séparent les réseaux approuvés et non approuvés.</t>
  </si>
  <si>
    <t>Fichiers ou informations obscurcis</t>
  </si>
  <si>
    <t>Les adversaires peuvent tenter de rendre un exécutable ou un fichier difficile à découvrir ou à analyser en chiffrant, en codant ou en masquant de toute autre manière son contenu sur le système ou en transit. Il s'agit d'un comportement courant qui peut être utilisé sur différentes plateformes et sur le réseau pour échapper aux défenses.</t>
  </si>
  <si>
    <t>Rembourrage binaire</t>
  </si>
  <si>
    <t>Les adversaires peuvent utiliser le remplissage binaire pour ajouter des données indésirables et modifier la représentation sur disque des programmes malveillants. Cela peut être fait sans affecter la fonctionnalité ou le comportement d'un binaire, mais peut augmenter la taille du binaire au-delà de ce que certains outils de sécurité sont capables de gérer en raison des limitations de taille de fichier.</t>
  </si>
  <si>
    <t>Emballage du logiciel</t>
  </si>
  <si>
    <t>Les adversaires peuvent effectuer un compactage de logiciel ou une protection de logiciel de machine virtuelle pour dissimuler leur code. Le compactage de logiciel est une méthode de compression ou de chiffrement d'un exécutable. Le compactage d'un exécutable modifie la signature du fichier pour tenter d'éviter la détection basée sur la signature. La plupart des techniques de décompression décompressent le code exécutable en mémoire. La protection logicielle de machine virtuelle traduit le code d'origine d'un exécutable dans un format spécial que seule une machine virtuelle spéciale peut exécuter. Une machine virtuelle est ensuite appelée pour exécuter ce code.</t>
  </si>
  <si>
    <t>Stéganographie</t>
  </si>
  <si>
    <t>Les adversaires peuvent utiliser des techniques de stéganographie afin d'empêcher la détection d'informations cachées. Les techniques de stéganographie peuvent être utilisées pour cacher des données dans des supports numériques tels que des images, des pistes audio, des clips vidéo ou des fichiers texte.</t>
  </si>
  <si>
    <t>Compiler après la livraison</t>
  </si>
  <si>
    <t>Les adversaires peuvent tenter de rendre les charges utiles difficiles à découvrir et à analyser en livrant les fichiers aux victimes sous forme de code non compilé. Les fichiers de code source textuels peuvent détourner l'analyse et l'examen des protections ciblant les exécutables/binaires. Ces charges utiles devront être compilées avant exécution, généralement via des utilitaires natifs tels que ilasm.exe, csc.exe ou GCC/MinGW.</t>
  </si>
  <si>
    <t>Retrait de l'indicateur des outils</t>
  </si>
  <si>
    <t>Les adversaires peuvent supprimer les indicateurs des outils s'ils pensent que leur outil malveillant a été détecté, mis en quarantaine ou autrement restreint. Ils peuvent modifier l'outil en supprimant l'indicateur et en utilisant la version mise à jour qui n'est plus détectée par les systèmes défensifs de la cible ou par des cibles ultérieures susceptibles d'utiliser des systèmes similaires.</t>
  </si>
  <si>
    <t>Contrebande HTML</t>
  </si>
  <si>
    <t>Les pirates peuvent faire passer des données et des fichiers au travers des filtres de contenu en cachant des charges utiles malveillantes dans des fichiers HTML apparemment inoffensifs. Les documents HTML peuvent stocker de gros objets binaires appelés blobs JavaScript (données immuables qui représentent des octets bruts) qui peuvent ensuite être construits en objets de type fichier. Les données peuvent également être stockées dans des URL de données, qui permettent d'intégrer des fichiers de type média ou MIME en ligne dans des documents HTML. HTML5 a également introduit un attribut de téléchargement qui peut être utilisé pour lancer des téléchargements de fichiers.</t>
  </si>
  <si>
    <t>Résolution d'API dynamique</t>
  </si>
  <si>
    <t>Les adversaires peuvent obscurcir puis résoudre dynamiquement les fonctions API appelées par leurs programmes malveillants afin de dissimuler les fonctionnalités malveillantes et de nuire à l'analyse défensive. Les programmes malveillants utilisent généralement diverses fonctions API natives fournies par le système d'exploitation pour effectuer diverses tâches telles que celles impliquant des processus, des fichiers et d'autres artefacts système.</t>
  </si>
  <si>
    <t>Charges utiles dénudées</t>
  </si>
  <si>
    <t>Charges utiles intégrées</t>
  </si>
  <si>
    <t>Les adversaires peuvent intégrer des charges utiles dans d'autres fichiers pour dissimuler le contenu malveillant aux défenses. Des fichiers apparemment inoffensifs (tels que des scripts et des exécutables) peuvent être détournés pour transporter et masquer des charges utiles et du contenu malveillants. Dans certains cas, les charges utiles intégrées peuvent également permettre aux adversaires de contourner les contrôles de confiance en n'affectant pas les contrôles d'exécution tels que les signatures numériques et les tickets de notarisation.</t>
  </si>
  <si>
    <t>Obscurcissement des commandes</t>
  </si>
  <si>
    <t>Stockage sans fichier</t>
  </si>
  <si>
    <t>Contrebande d'icônes LNK</t>
  </si>
  <si>
    <t>Fichier crypté/codé</t>
  </si>
  <si>
    <t>Code polymorphe</t>
  </si>
  <si>
    <t>Modification du fichier Plist</t>
  </si>
  <si>
    <t>Chargement de code réfléchissant</t>
  </si>
  <si>
    <t>Les adversaires peuvent charger du code de manière réfléchie dans un processus afin de dissimuler l'exécution de charges utiles malveillantes. Le chargement réfléchi consiste à allouer puis à exécuter des charges utiles directement dans la mémoire du processus, au lieu de créer un thread ou un processus soutenu par un chemin de fichier sur le disque (par exemple, des modules partagés ).</t>
  </si>
  <si>
    <t>Contrôleur de domaine non autorisé</t>
  </si>
  <si>
    <t>Les adversaires peuvent enregistrer un contrôleur de domaine non autorisé pour permettre la manipulation des données Active Directory. DCShadow peut être utilisé pour créer un contrôleur de domaine non autorisé. DCShadow est une méthode de manipulation des données Active Directory (AD), y compris des objets et des schémas, en enregistrant (ou en réutilisant un enregistrement inactif) et en simulant le comportement d'un contrôleur de domaine. Une fois enregistré, un contrôleur de domaine non autorisé peut être en mesure d'injecter et de répliquer des modifications dans l'infrastructure AD pour tout objet de domaine, y compris les informations d'identification et les clés.</t>
  </si>
  <si>
    <t>Les pirates informatiques peuvent utiliser des rootkits pour masquer la présence de programmes, de fichiers, de connexions réseau, de services, de pilotes et d'autres composants système. Les rootkits sont des programmes qui masquent l'existence de programmes malveillants en interceptant/accrochant et en modifiant les appels d'API du système d'exploitation qui fournissent des informations système.</t>
  </si>
  <si>
    <t>Subvertir les contrôles de confiance</t>
  </si>
  <si>
    <t>Les adversaires peuvent compromettre les contrôles de sécurité qui avertissent les utilisateurs d'une activité non fiable ou empêchent l'exécution de programmes non fiables. Les systèmes d'exploitation et les produits de sécurité peuvent contenir des mécanismes permettant d'identifier les programmes ou les sites Web comme possédant un certain niveau de confiance. Parmi ces fonctionnalités, on peut citer l'autorisation d'exécution d'un programme parce qu'il est signé par un certificat de signature de code valide, l'avertissement d'un programme parce qu'il possède un attribut défini pour être téléchargé à partir d'Internet ou l'indication que vous êtes sur le point de vous connecter à un site non fiable.</t>
  </si>
  <si>
    <t>Contournement du gardien</t>
  </si>
  <si>
    <t>Les adversaires peuvent modifier les attributs des fichiers et contourner les fonctionnalités de Gatekeeper pour échapper aux invites des utilisateurs et exécuter des programmes non fiables. Gatekeeper est un ensemble de technologies qui agissent comme une couche du modèle de sécurité d'Apple pour garantir que seules les applications fiables sont exécutées sur un hôte. Gatekeeper a été construit sur la base de File Quarantine dans Snow Leopard (10.6, 2009) et s'est développé pour inclure la signature de code, la conformité aux politiques de sécurité, la notarisation, etc. Gatekeeper traite également les applications exécutées pour la première fois différemment des applications rouvertes.</t>
  </si>
  <si>
    <t>Signature de code</t>
  </si>
  <si>
    <t>Les adversaires peuvent créer, acquérir ou voler des éléments de signature de code pour signer leurs logiciels malveillants ou leurs outils. La signature de code fournit un niveau d'authenticité sur un binaire du développeur et une garantie que le binaire n'a pas été falsifié. Les certificats utilisés lors d'une opération peuvent être créés, acquis ou volés par l'adversaire. Contrairement à la signature de code non valide , cette activité aboutira à une signature valide.</t>
  </si>
  <si>
    <t>Détournement de SIP et de fournisseur de confiance</t>
  </si>
  <si>
    <t>Les adversaires peuvent falsifier les composants SIP et les fournisseurs de confiance pour tromper le système d'exploitation et les outils de contrôle des applications lors des contrôles de validation des signatures. En mode utilisateur, les signatures numériques Windows Authenticode sont utilisées pour vérifier l'origine et l'intégrité d'un fichier, variables qui peuvent être utilisées pour établir la confiance dans le code signé (par exemple, un pilote avec une signature Microsoft valide peut être traité comme sûr). Le processus de validation des signatures est géré via la fonction d'interface de programmation d'application (API) WinVerifyTrust, qui accepte une demande et se coordonne avec le fournisseur de confiance approprié, qui est responsable de la validation des paramètres d'une signature.</t>
  </si>
  <si>
    <t>Installer le certificat racine</t>
  </si>
  <si>
    <t>Les adversaires peuvent installer un certificat racine sur un système compromis pour éviter les avertissements lors de la connexion à des serveurs Web contrôlés par des adversaires. Les certificats racine sont utilisés dans la cryptographie à clé publique pour identifier une autorité de certification racine (CA). Lorsqu'un certificat racine est installé, le système ou l'application fera confiance aux certificats de la chaîne de confiance de la racine qui ont été signés par le certificat racine. Les certificats sont couramment utilisés pour établir des communications TLS/SSL sécurisées dans un navigateur Web. Lorsqu'un utilisateur tente de parcourir un site Web qui présente un certificat qui n'est pas approuvé, un message d'erreur s'affiche pour avertir l'utilisateur du risque de sécurité. Selon les paramètres de sécurité, le navigateur peut ne pas autoriser l'utilisateur à établir une connexion au site Web.</t>
  </si>
  <si>
    <t>Contournement de la marque du Web</t>
  </si>
  <si>
    <t>Modification de la politique de signature de code</t>
  </si>
  <si>
    <t>Les adversaires peuvent modifier les politiques de signature de code pour permettre l'exécution de code non signé ou auto-signé. La signature de code fournit un niveau d'authenticité sur un programme d'un développeur et une garantie que le programme n'a pas été falsifié. Les contrôles de sécurité peuvent inclure des mécanismes d'application pour garantir que seul du code signé valide peut être exécuté sur un système d'exploitation.</t>
  </si>
  <si>
    <t>Exécution du proxy binaire du système</t>
  </si>
  <si>
    <t>Les adversaires peuvent contourner les défenses basées sur les processus et/ou les signatures en utilisant des fichiers binaires signés ou approuvés pour l'exécution de contenu malveillant. Les fichiers binaires utilisés dans cette technique sont souvent des fichiers signés par Microsoft, ce qui indique qu'ils ont été téléchargés depuis Microsoft ou qu'ils sont déjà natifs du système d'exploitation. Les fichiers binaires signés avec des certificats numériques approuvés peuvent généralement s'exécuter sur des systèmes Windows protégés par une validation de signature numérique. Plusieurs fichiers binaires signés par Microsoft qui sont par défaut sur les installations Windows peuvent être utilisés pour exécuter par proxy d'autres fichiers ou commandes.</t>
  </si>
  <si>
    <t>Fichier HTML compilé</t>
  </si>
  <si>
    <t>Les pirates peuvent utiliser les fichiers HTML compilés (.chm) pour dissimuler du code malveillant. Les fichiers CHM sont généralement distribués dans le cadre du système d'aide HTML de Microsoft. Les fichiers CHM sont des compilations compressées de divers contenus tels que des documents HTML, des images et des langages de programmation liés au script/au Web tels que VBA, JScript, Java et ActiveX. Le contenu CHM est affiché à l'aide des composants sous-jacents du navigateur Internet Explorer chargés par le programme exécutable d'aide HTML (hh.exe).</t>
  </si>
  <si>
    <t>Panneau de contrôle</t>
  </si>
  <si>
    <t>Les adversaires peuvent utiliser control.exe pour exécuter des charges malveillantes. Le binaire de processus du Panneau de configuration de Windows (control.exe) gère l'exécution des éléments du Panneau de configuration, qui sont des utilitaires permettant aux utilisateurs d'afficher et d'ajuster les paramètres de l'ordinateur.</t>
  </si>
  <si>
    <t>Les adversaires peuvent exploiter CMSTP pour exécuter du code malveillant. Le programme d'installation de profils Microsoft Connection Manager (CMSTP.exe) est un programme de ligne de commande utilisé pour installer les profils de service Connection Manager. CMSTP.exe accepte un fichier d'informations d'installation (INF) comme paramètre et installe un profil de service utilisé pour les connexions d'accès à distance.</t>
  </si>
  <si>
    <t>Les adversaires peuvent exploiter mshta.exe pour exécuter par proxy des fichiers .hta malveillants et du code Javascript ou VBScript via un utilitaire Windows de confiance. Il existe plusieurs exemples de différents types de menaces exploitant mshta.exe lors de la compromission initiale et pour l'exécution de code</t>
  </si>
  <si>
    <t>Les adversaires peuvent utiliser msiexec.exe pour exécuter des charges malveillantes. Msiexec.exe est l'utilitaire de ligne de commande de Windows Installer et est donc généralement associé à l'exécution de packages d'installation (.msi). Le binaire Msiexec.exe peut également être signé numériquement par Microsoft.</t>
  </si>
  <si>
    <t>Les adversaires peuvent utiliser odbcconf.exe pour exécuter des charges malveillantes. Odbcconf.exe est un utilitaire Windows qui vous permet de configurer les pilotes ODBC (Open Database Connectivity) et les noms de sources de données. Le binaire Odbcconf.exe peut être signé numériquement par Microsoft.</t>
  </si>
  <si>
    <t>Les adversaires peuvent utiliser Regsvcs et Regasm pour exécuter du code via un utilitaire Windows de confiance. Regsvcs et Regasm sont des utilitaires de ligne de commande Windows utilisés pour enregistrer les assemblages COM ( Component Object Model ) .NET. Ces deux fichiers binaires peuvent être signés numériquement par Microsoft.</t>
  </si>
  <si>
    <t>Les adversaires peuvent utiliser Regsvr32.exe pour exécuter du code malveillant. Regsvr32.exe est un programme de ligne de commande utilisé pour enregistrer et annuler l'enregistrement des contrôles de liaison et d'incorporation d'objets, y compris les bibliothèques de liens dynamiques (DLL), sur les systèmes Windows. Le binaire Regsvr32.exe peut également être signé par Microsoft.</t>
  </si>
  <si>
    <t>Les adversaires peuvent abuser de rundll32.exe pour exécuter du code malveillant par proxy. L'utilisation de rundll32.exe, au lieu de l'exécuter directement (c'est-à-dire des modules partagés ), peut éviter de déclencher des outils de sécurité qui peuvent ne pas surveiller l'exécution du processus rundll32.exe en raison de listes d'autorisation ou de faux positifs provenant d'opérations normales. Rundll32.exe est généralement associé à l'exécution de charges utiles DLL (ex : rundll32.exe {DLLname, DLLfunction}).</t>
  </si>
  <si>
    <t>Verclside</t>
  </si>
  <si>
    <t>Les adversaires peuvent utiliser verclsid.exe pour exécuter du code malveillant. Verclsid.exe est connu sous le nom d'hôte de vérification CLSID d'extension et est chargé de vérifier chaque extension de shell avant qu'elles ne soient utilisées par Windows Explorer ou Windows Shell.</t>
  </si>
  <si>
    <t>Les adversaires peuvent utiliser mavinject.exe pour exécuter du code malveillant. Mavinject.exe est Microsoft Application Virtualization Injector, un utilitaire Windows qui peut injecter du code dans des processus externes dans le cadre de Microsoft Application Virtualization (App-V).</t>
  </si>
  <si>
    <t>Les adversaires peuvent utiliser mmc.exe pour exécuter des fichiers .msc malveillants. Microsoft Management Console (MMC) est un binaire qui peut être signé par Microsoft et qui est utilisé de plusieurs manières dans son interface graphique ou dans une invite de commande. MMC peut être utilisé pour créer, ouvrir et enregistrer des consoles personnalisées contenant des outils d'administration créés par Microsoft, appelés composants logiciels enfichables. Ces composants logiciels enfichables peuvent être utilisés pour gérer les systèmes Windows localement ou à distance. MMC peut également être utilisé pour ouvrir des fichiers .msc créés par Microsoft afin de gérer la configuration du système.</t>
  </si>
  <si>
    <t>Applications électroniques</t>
  </si>
  <si>
    <t>Les adversaires peuvent exploiter les composants du framework Electron pour exécuter du code malveillant. Le framework Electron héberge de nombreuses applications courantes telles que Signal, Slack et Microsoft Teams. Développé à l'origine par GitHub, Electron est un framework de développement d'applications de bureau multiplateforme qui utilise des technologies Web telles que JavaScript, HTML et CSS. Le moteur Chromium est utilisé pour afficher le contenu Web et Node.js exécute le code backend.</t>
  </si>
  <si>
    <t>Exécution du proxy du script système</t>
  </si>
  <si>
    <t>Les adversaires peuvent utiliser des scripts de confiance, souvent signés avec des certificats, pour exécuter des fichiers malveillants. Plusieurs scripts signés Microsoft téléchargés depuis Microsoft ou installés par défaut sur les installations Windows peuvent être utilisés pour exécuter d'autres fichiers. Ce comportement peut être exploité par des adversaires pour exécuter des fichiers malveillants qui pourraient contourner le contrôle des applications et la validation des signatures sur les systèmes.</t>
  </si>
  <si>
    <t>Serveur de publication SyncAppv</t>
  </si>
  <si>
    <t>Les adversaires peuvent exploiter SyncAppvPublishingServer.vbs pour exécuter par proxy des commandes PowerShell malveillantes . SyncAppvPublishingServer.vbs est un script Visual Basic associé à la manière dont Windows virtualise les applications (Microsoft Application Virtualization, ou App-V). Par exemple, Windows peut restituer des applications Win32 aux utilisateurs sous forme d'applications virtuelles, ce qui permet aux utilisateurs de les lancer et d'interagir avec elles comme si elles étaient installées localement.</t>
  </si>
  <si>
    <t>Injection de modèle</t>
  </si>
  <si>
    <t>Les pirates peuvent créer ou modifier des références dans les modèles de documents utilisateur pour dissimuler du code malveillant ou forcer des tentatives d'authentification. Par exemple, la spécification Office Open XML (OOXML) de Microsoft définit un format XML pour les documents Office (.docx, xlsx, .pptx) destiné à remplacer les anciens formats binaires (.doc, .xls, .ppt). Les fichiers OOXML sont des archives ZIP regroupées constituées de divers fichiers XML, appelés parties, contenant des propriétés qui définissent collectivement la manière dont un document est rendu.</t>
  </si>
  <si>
    <t>Exécution du proxy des utilitaires de développement de confiance</t>
  </si>
  <si>
    <t>Les adversaires peuvent exploiter les utilitaires de développement de confiance pour exécuter par proxy des charges malveillantes. Il existe de nombreux utilitaires utilisés pour les tâches liées au développement de logiciels qui peuvent être utilisés pour exécuter du code sous diverses formes afin de faciliter le développement, le débogage et la rétro-ingénierie. Ces utilitaires peuvent souvent être signés avec des certificats légitimes qui leur permettent de s'exécuter sur un système et d'exécuter par proxy du code malveillant via un processus de confiance qui contourne efficacement les solutions de contrôle des applications.</t>
  </si>
  <si>
    <t>Les adversaires peuvent utiliser MSBuild pour exécuter du code via un utilitaire Windows fiable. MSBuild.exe (Microsoft Build Engine) est une plateforme de création de logiciels utilisée par Visual Studio. Elle gère les fichiers de projet au format XML qui définissent les exigences de chargement et de création de diverses plateformes et configurations.</t>
  </si>
  <si>
    <t>Cliquez une fois</t>
  </si>
  <si>
    <t>Les adversaires peuvent utiliser les applications ClickOnce (fichiers .appref-ms et .application) pour exécuter du code via un utilitaire Windows de confiance. ClickOnce est un déploiement qui permet à un utilisateur de créer des applications .NET basées sur Windows à mise à jour automatique (c'est-à-dire .XBAP, .EXE ou .DLL) qui s'installent et s'exécutent à partir d'un partage de fichiers ou d'une page Web avec une interaction utilisateur minimale. L'application se lance en tant que processus enfant de DFSVC.EXE, qui est responsable de l'installation, du lancement et de la mise à jour de l'application.</t>
  </si>
  <si>
    <t>Régions de cloud inutilisées/non prises en charge</t>
  </si>
  <si>
    <t>Les adversaires peuvent créer des instances cloud dans des régions de service géographiques inutilisées afin d'échapper à la détection. L'accès s'obtient généralement via des comptes compromis utilisés pour gérer l'infrastructure cloud.</t>
  </si>
  <si>
    <t>Utiliser un matériel d'authentification alternatif</t>
  </si>
  <si>
    <t>Les adversaires peuvent utiliser du matériel d’authentification alternatif, tel que des hachages de mot de passe, des tickets Kerberos et des jetons d’accès aux applications, afin de se déplacer latéralement dans un environnement et de contourner les contrôles d’accès normaux au système.</t>
  </si>
  <si>
    <t>Jeton d'accès à l'application</t>
  </si>
  <si>
    <t>Les adversaires peuvent utiliser des jetons d'accès aux applications volés pour contourner le processus d'authentification classique et accéder à des comptes, des informations ou des services restreints sur des systèmes distants. Ces jetons sont généralement volés aux utilisateurs ou aux services et utilisés à la place des identifiants de connexion.</t>
  </si>
  <si>
    <t>Passer le hachage</t>
  </si>
  <si>
    <t>Les adversaires peuvent « transmettre le hachage » en utilisant des hachages de mots de passe volés pour se déplacer latéralement dans un environnement, en contournant les contrôles d'accès normaux du système. Pass the hash (PtH) est une méthode d'authentification en tant qu'utilisateur sans avoir accès au mot de passe en clair de l'utilisateur. Cette méthode contourne les étapes d'authentification standard qui nécessitent un mot de passe en clair, en passant directement à la partie de l'authentification qui utilise le hachage du mot de passe.</t>
  </si>
  <si>
    <t>Passer le ticket</t>
  </si>
  <si>
    <t>Les adversaires peuvent « passer le ticket » en utilisant des tickets Kerberos volés pour se déplacer latéralement dans un environnement, en contournant les contrôles d'accès normaux au système. Pass the ticket (PtT) est une méthode d'authentification sur un système utilisant des tickets Kerberos sans avoir accès au mot de passe d'un compte. L'authentification Kerberos peut être utilisée comme première étape d'un mouvement latéral vers un système distant.</t>
  </si>
  <si>
    <t>Cookie de session Web</t>
  </si>
  <si>
    <t>Les adversaires peuvent utiliser des cookies de session volés pour s'authentifier auprès d'applications et de services Web. Cette technique contourne certains protocoles d'authentification multifacteur puisque la session est déjà authentifiée.</t>
  </si>
  <si>
    <t>Virtualisation/évasion du sandbox</t>
  </si>
  <si>
    <t>Les adversaires peuvent employer divers moyens pour détecter et éviter les environnements de virtualisation et d'analyse. Cela peut inclure des changements de comportement en fonction des résultats des contrôles de présence d'artefacts indiquant un environnement de machine virtuelle (VME) ou un sandbox. Si l'adversaire détecte un VME, il peut modifier son logiciel malveillant pour se désengager de la victime ou masquer les fonctions principales de l'implant. Il peut également rechercher des artefacts VME avant de déposer des charges utiles secondaires ou supplémentaires. Les adversaires peuvent utiliser les informations apprises grâce à Virtualization/Sandbox Evasion lors de la découverte automatisée pour façonner les comportements de suivi.</t>
  </si>
  <si>
    <t>Vérifications du système</t>
  </si>
  <si>
    <t>Les adversaires peuvent utiliser divers contrôles système pour détecter et éviter les environnements de virtualisation et d'analyse. Cela peut inclure des changements de comportement en fonction des résultats des contrôles de présence d'artefacts indiquant un environnement de machine virtuelle (VME) ou un sandbox. Si l'adversaire détecte un VME, il peut modifier son logiciel malveillant pour se désengager de la victime ou masquer les fonctions principales de l'implant. Il peut également rechercher des artefacts VME avant de déposer des charges utiles secondaires ou supplémentaires. Les adversaires peuvent utiliser les informations apprises grâce à Virtualization/Sandbox Evasion lors de la découverte automatisée pour façonner les comportements de suivi.</t>
  </si>
  <si>
    <t>Vérifications basées sur l'activité des utilisateurs</t>
  </si>
  <si>
    <t>Les adversaires peuvent utiliser divers contrôles d'activité utilisateur pour détecter et éviter les environnements de virtualisation et d'analyse. Cela peut inclure des changements de comportement en fonction des résultats des contrôles de présence d'artefacts indiquant un environnement de machine virtuelle (VME) ou un sandbox. Si l'adversaire détecte un VME, il peut modifier son logiciel malveillant pour se désengager de la victime ou masquer les fonctions principales de l'implant. Il peut également rechercher des artefacts VME avant de déposer des charges utiles secondaires ou supplémentaires. Les adversaires peuvent utiliser les informations apprises grâce à Virtualization/Sandbox Evasion lors de la découverte automatisée pour façonner les comportements de suivi.</t>
  </si>
  <si>
    <t>Évasion basée sur le temps</t>
  </si>
  <si>
    <t>Les adversaires peuvent employer diverses méthodes basées sur le temps pour détecter et éviter les environnements de virtualisation et d'analyse. Cela peut inclure l'énumération de propriétés basées sur le temps, telles que le temps de disponibilité ou l'horloge système, ainsi que l'utilisation de temporisateurs ou d'autres déclencheurs pour éviter un environnement de machine virtuelle (VME) ou un sandbox, en particulier ceux qui sont automatisés ou qui ne fonctionnent que pendant une durée limitée.</t>
  </si>
  <si>
    <t>Affaiblir le cryptage</t>
  </si>
  <si>
    <t>Les adversaires peuvent compromettre la capacité de cryptage d'un périphérique réseau afin de contourner le cryptage qui protégerait autrement les communications de données.</t>
  </si>
  <si>
    <t>Réduire l'espace clé</t>
  </si>
  <si>
    <t>Les adversaires peuvent réduire le niveau d’effort requis pour décrypter les données transmises sur le réseau en réduisant la puissance de chiffrement des communications cryptées.</t>
  </si>
  <si>
    <t>Désactiver le matériel de cryptographie</t>
  </si>
  <si>
    <t>Les adversaires désactivent le cryptage matériel dédié d'un périphérique réseau, ce qui peut leur permettre d'exploiter les faiblesses du cryptage logiciel afin de réduire l'effort impliqué dans la collecte, la manipulation et l'exfiltration des données transmises.</t>
  </si>
  <si>
    <t>Traitement des scripts XSL</t>
  </si>
  <si>
    <t>Les pirates peuvent contourner le contrôle des applications et obscurcir l'exécution du code en incorporant des scripts dans des fichiers XSL. Les fichiers XSL (Extensible Stylesheet Language) sont couramment utilisés pour décrire le traitement et le rendu des données dans les fichiers XML. Pour prendre en charge des opérations complexes, la norme XSL inclut la prise en charge des scripts intégrés dans divers langages.</t>
  </si>
  <si>
    <t>Accès aux informations d'identification</t>
  </si>
  <si>
    <t>Adversaire du milieu</t>
  </si>
  <si>
    <t>Empoisonnement LLMNR/NBT-NS et relais SMB</t>
  </si>
  <si>
    <t>En répondant au trafic réseau LLMNR/NBT-NS, les adversaires peuvent usurper une source faisant autorité pour la résolution de noms afin de forcer la communication avec un système contrôlé par un adversaire. Cette activité peut être utilisée pour collecter ou relayer des éléments d'authentification.</t>
  </si>
  <si>
    <t>Empoisonnement du cache ARP</t>
  </si>
  <si>
    <t>Usurpation DHCP</t>
  </si>
  <si>
    <t>Jumeau maléfique</t>
  </si>
  <si>
    <t>Force brute</t>
  </si>
  <si>
    <t>Les adversaires peuvent utiliser des techniques de force brute pour accéder aux comptes lorsque les mots de passe sont inconnus ou lorsque les hachages de mot de passe sont obtenus. Sans connaître le mot de passe d'un compte ou d'un ensemble de comptes, un adversaire peut systématiquement deviner le mot de passe à l'aide d'un mécanisme répétitif ou itératif. Les mots de passe de force brute peuvent être obtenus via une interaction avec un service qui vérifiera la validité de ces informations d'identification ou hors ligne par rapport aux données d'identification précédemment acquises, telles que les hachages de mot de passe.</t>
  </si>
  <si>
    <t>Deviner le mot de passe</t>
  </si>
  <si>
    <t>Les adversaires qui n'ont aucune connaissance préalable des informations d'identification légitimes au sein du système ou de l'environnement peuvent deviner les mots de passe pour tenter d'accéder aux comptes. Sans connaître le mot de passe d'un compte, un adversaire peut choisir de deviner systématiquement le mot de passe à l'aide d'un mécanisme répétitif ou itératif. Un adversaire peut deviner les informations d'identification de connexion sans connaissance préalable des mots de passe du système ou de l'environnement au cours d'une opération en utilisant une liste de mots de passe courants. La devinette de mot de passe peut ou non prendre en compte les politiques de la cible en matière de complexité des mots de passe ou utiliser des politiques qui peuvent verrouiller les comptes après un certain nombre de tentatives infructueuses.</t>
  </si>
  <si>
    <t>Décryptage de mot de passe</t>
  </si>
  <si>
    <t>Pulvérisation de mot de passe</t>
  </si>
  <si>
    <t>Les adversaires peuvent utiliser une liste unique ou restreinte de mots de passe couramment utilisés contre plusieurs comptes différents pour tenter d'acquérir des informations d'identification de compte valides. La pulvérisation de mots de passe utilise un mot de passe (par exemple, « Password01 ») ou une petite liste de mots de passe couramment utilisés, qui peuvent correspondre à la politique de complexité du domaine. Les connexions sont tentées avec ce mot de passe sur plusieurs comptes différents sur un réseau pour éviter les blocages de compte qui se produiraient normalement lors d'une attaque par force brute sur un seul compte avec plusieurs mots de passe.</t>
  </si>
  <si>
    <t>Bourrage d'identifiants</t>
  </si>
  <si>
    <t>Les adversaires peuvent utiliser les identifiants obtenus à partir de fuites de comptes sans rapport pour accéder aux comptes cibles par le biais d'un chevauchement d'identifiants. Parfois, un grand nombre de paires nom d'utilisateur/mot de passe sont divulguées en ligne lorsqu'un site Web ou un service est compromis et que les identifiants du compte utilisateur sont consultés. Ces informations peuvent être utiles à un adversaire qui tente de compromettre des comptes en profitant de la tendance des utilisateurs à utiliser les mêmes mots de passe sur leurs comptes personnels et professionnels.</t>
  </si>
  <si>
    <t>Informations d'identification provenant des magasins de mots de passe</t>
  </si>
  <si>
    <t>Les adversaires peuvent rechercher des emplacements de stockage de mots de passe courants pour obtenir les identifiants des utilisateurs. Les mots de passe sont stockés à plusieurs endroits sur un système, en fonction du système d'exploitation ou de l'application qui détient les identifiants. Il existe également des applications et des services spécifiques qui stockent les mots de passe pour les rendre plus faciles à gérer et à maintenir pour les utilisateurs, tels que les gestionnaires de mots de passe et les coffres-forts de secrets dans le cloud. Une fois les identifiants obtenus, ils peuvent être utilisés pour effectuer des mouvements latéraux et accéder à des informations restreintes.</t>
  </si>
  <si>
    <t>Porte-clés</t>
  </si>
  <si>
    <t>Les adversaires peuvent acquérir des informations d'identification à partir du trousseau. Le trousseau (ou les services de trousseau) est le système de gestion des informations d'identification de macOS qui stocke les noms de compte, les mots de passe, les clés privées, les certificats, les données d'application sensibles, les données de paiement et les notes sécurisées. Il existe trois types de trousseaux : le trousseau de connexion, le trousseau système et le trousseau d'éléments locaux (iCloud). Le trousseau par défaut est le trousseau de connexion, qui stocke les mots de passe et les informations des utilisateurs. Le trousseau système stocke les éléments auxquels accède le système d'exploitation, tels que les éléments partagés entre les utilisateurs sur un hôte. Le trousseau d'éléments locaux (iCloud) est utilisé pour les éléments synchronisés avec le service iCloud d'Apple.</t>
  </si>
  <si>
    <t>Mémoire sécurisée</t>
  </si>
  <si>
    <t>Informations d'identification des navigateurs Web</t>
  </si>
  <si>
    <t>Les pirates peuvent obtenir des informations d'identification à partir de navigateurs Web en lisant des fichiers spécifiques au navigateur cible. Les navigateurs Web enregistrent généralement des informations d'identification telles que les noms d'utilisateur et les mots de passe des sites Web afin qu'ils n'aient pas besoin d'être saisis manuellement à l'avenir. Les navigateurs Web stockent généralement les informations d'identification dans un format chiffré dans une base de données d'informations d'identification. Cependant, il existe des méthodes permettant d'extraire les informations d'identification en texte clair des navigateurs Web.</t>
  </si>
  <si>
    <t>Gestionnaire d'informations d'identification Windows</t>
  </si>
  <si>
    <t>Les adversaires peuvent obtenir des informations d'identification à partir du Gestionnaire d'informations d'identification Windows. Le Gestionnaire d'informations d'identification stocke les informations d'identification pour la connexion à des sites Web, des applications et/ou des appareils qui demandent une authentification via NTLM ou Kerberos dans des coffres-forts d'informations d'identification (anciennement appelés coffres-forts Windows).</t>
  </si>
  <si>
    <t>Gestionnaires de mots de passe</t>
  </si>
  <si>
    <t>Les adversaires peuvent obtenir les informations d'identification des utilisateurs à partir de gestionnaires de mots de passe tiers. Les gestionnaires de mots de passe sont des applications conçues pour stocker les informations d'identification des utilisateurs, généralement dans une base de données chiffrée. Les informations d'identification sont généralement accessibles après qu'un utilisateur a fourni un mot de passe principal qui déverrouille la base de données. Une fois la base de données déverrouillée, ces informations d'identification peuvent être copiées dans la mémoire. Ces bases de données peuvent être stockées sous forme de fichiers sur disque.</t>
  </si>
  <si>
    <t>Magasins de gestion des secrets du cloud</t>
  </si>
  <si>
    <t>Les adversaires peuvent acquérir des informations d’identification à partir de solutions de gestion des secrets natives du cloud telles que AWS Secrets Manager, GCP Secret Manager, Azure Key Vault et Terraform Vault.</t>
  </si>
  <si>
    <t>Exploitation pour l'accès aux informations d'identification</t>
  </si>
  <si>
    <t>Les adversaires peuvent exploiter les vulnérabilités logicielles pour tenter de récupérer des informations d'identification. L'exploitation d'une vulnérabilité logicielle se produit lorsqu'un adversaire profite d'une erreur de programmation dans un programme, un service ou dans le logiciel du système d'exploitation ou le noyau lui-même pour exécuter un code contrôlé par l'adversaire. </t>
  </si>
  <si>
    <t>Authentification forcée</t>
  </si>
  <si>
    <t>Les adversaires peuvent recueillir des informations d’identification en invoquant ou en forçant un utilisateur à fournir automatiquement des informations d’authentification via un mécanisme qu’ils peuvent intercepter.</t>
  </si>
  <si>
    <t>Informations d'identification Forge Web</t>
  </si>
  <si>
    <t>Les pirates informatiques peuvent falsifier des éléments d'identification qui peuvent être utilisés pour accéder à des applications Web ou à des services Internet. Les applications et services Web (hébergés dans des environnements SaaS cloud ou des serveurs sur site) utilisent souvent des cookies de session, des jetons ou d'autres éléments pour authentifier et autoriser l'accès des utilisateurs.</t>
  </si>
  <si>
    <t>Cookies Web</t>
  </si>
  <si>
    <t>Les pirates informatiques peuvent créer des cookies Web qui peuvent être utilisés pour accéder à des applications Web ou à des services Internet. Les applications et services Web (hébergés dans des environnements SaaS cloud ou des serveurs sur site) utilisent souvent des cookies de session pour authentifier et autoriser l'accès des utilisateurs.</t>
  </si>
  <si>
    <t>Jetons SAML</t>
  </si>
  <si>
    <t>Capture d'entrée</t>
  </si>
  <si>
    <t>Enregistrement de frappe</t>
  </si>
  <si>
    <t>Les adversaires peuvent enregistrer les frappes de clavier des utilisateurs pour intercepter les informations d'identification au fur et à mesure que l'utilisateur les saisit. L'enregistrement des frappes est susceptible d'être utilisé pour acquérir des informations d'identification pour de nouvelles opportunités d'accès lorsque les efforts de vidage des informations d'identification du système d'exploitation ne sont pas efficaces, et peut obliger un adversaire à intercepter les frappes de clavier sur un système pendant une période de temps substantielle avant que les informations d'identification puissent être capturées avec succès. Afin d'augmenter la probabilité de capturer rapidement les informations d'identification, un adversaire peut également effectuer des actions telles que la suppression des cookies du navigateur pour forcer les utilisateurs à s'authentifier à nouveau sur les systèmes.</t>
  </si>
  <si>
    <t>Capture d'entrée de l'interface graphique utilisateur</t>
  </si>
  <si>
    <t>Les adversaires peuvent imiter les composants courants de l'interface utilisateur graphique du système d'exploitation pour demander aux utilisateurs des informations d'identification avec une invite apparemment légitime. Lorsque des programmes nécessitant des privilèges supplémentaires par rapport à ceux présents dans le contexte utilisateur actuel sont exécutés, il est courant que le système d'exploitation demande à l'utilisateur des informations d'identification appropriées pour autoriser les privilèges élevés pour la tâche (par exemple : contourner le contrôle de compte d'utilisateur ).</t>
  </si>
  <si>
    <t>Capture de portail Web</t>
  </si>
  <si>
    <t>Les adversaires peuvent installer du code sur des portails externes, comme une page de connexion VPN, pour capturer et transmettre les identifiants des utilisateurs qui tentent de se connecter au service. Par exemple, une page de connexion compromise peut enregistrer les identifiants d'utilisateur fournis avant de connecter l'utilisateur au service.</t>
  </si>
  <si>
    <t>Connexion API d'informations d'identification</t>
  </si>
  <si>
    <t>Les adversaires peuvent s'accrocher aux fonctions de l'interface de programmation d'applications (API) Windows pour collecter les informations d'identification des utilisateurs. Les mécanismes d'accrochage malveillants peuvent capturer les appels d'API qui incluent des paramètres qui révèlent les informations d'identification de l'utilisateur. Contrairement au Keylogging , cette technique se concentre spécifiquement sur les fonctions d'API qui incluent des paramètres qui révèlent les informations d'identification de l'utilisateur. L'accrochage consiste à rediriger les appels vers ces fonctions et peut être implémenté via :</t>
  </si>
  <si>
    <t>Interception d'authentification multifacteur</t>
  </si>
  <si>
    <t>Les adversaires peuvent cibler les mécanismes d'authentification multifacteur (MFA) (c'est-à-dire les cartes à puce, les générateurs de jetons, etc.) pour accéder aux informations d'identification qui peuvent être utilisées pour accéder aux systèmes, aux services et aux ressources réseau. L'utilisation de l'authentification multifacteur est recommandée et offre un niveau de sécurité plus élevé que les noms d'utilisateur et les mots de passe seuls, mais les organisations doivent être conscientes des techniques qui pourraient être utilisées pour intercepter et contourner ces mécanismes de sécurité.</t>
  </si>
  <si>
    <t>Génération de demandes d'authentification multifacteur</t>
  </si>
  <si>
    <t>Les adversaires peuvent tenter de contourner les mécanismes d’authentification multifacteur (MFA) et d’accéder aux comptes en générant des requêtes MFA envoyées aux utilisateurs.</t>
  </si>
  <si>
    <t>Reniflage de réseau</t>
  </si>
  <si>
    <t>Les adversaires peuvent intercepter passivement le trafic réseau pour capturer des informations sur un environnement, notamment le matériel d'authentification transmis sur le réseau. L'interception de réseau consiste à utiliser l'interface réseau d'un système pour surveiller ou capturer des informations envoyées via une connexion filaire ou sans fil. Un adversaire peut placer une interface réseau en mode promiscuité pour accéder passivement aux données en transit sur le réseau, ou utiliser des ports de répartition pour capturer une plus grande quantité de données.</t>
  </si>
  <si>
    <t>Vidage des informations d'identification du système d'exploitation</t>
  </si>
  <si>
    <t>Les adversaires peuvent tenter de voler des informations d'identification pour obtenir des informations de connexion et d'identification de compte, généralement sous la forme d'un hachage ou d'un mot de passe en texte clair. Les informations d'identification peuvent être obtenues à partir des caches, de la mémoire ou des structures du système d'exploitation. Les informations d'identification peuvent ensuite être utilisées pour effectuer un mouvement latéral et accéder à des informations restreintes.</t>
  </si>
  <si>
    <t>Mémoire LSASS</t>
  </si>
  <si>
    <t>Responsable de compte de sécurité</t>
  </si>
  <si>
    <t>Les secrets de la LSA</t>
  </si>
  <si>
    <t>Informations d'identification du domaine mis en cache</t>
  </si>
  <si>
    <t>Les adversaires peuvent tenter d’accéder aux informations d’identification de domaine mises en cache utilisées pour permettre l’authentification en cas d’indisponibilité d’un contrôleur de domaine.</t>
  </si>
  <si>
    <t>Synchronisation DC</t>
  </si>
  <si>
    <t>Les adversaires peuvent tenter d’accéder aux informations d’identification et à d’autres informations sensibles en abusant de l’interface de programmation d’application (API) d’un contrôleur de domaine Windows pour simuler le processus de réplication à partir d’un contrôleur de domaine distant à l’aide d’une technique appelée DCSync.</t>
  </si>
  <si>
    <t>Système de fichiers Proc</t>
  </si>
  <si>
    <t>/etc/passwd et /etc/shadow</t>
  </si>
  <si>
    <t>Voler le jeton d'accès à l'application</t>
  </si>
  <si>
    <t>Les adversaires peuvent voler des jetons d’accès aux applications afin d’acquérir des informations d’identification pour accéder aux systèmes et ressources distants.</t>
  </si>
  <si>
    <t>Voler ou falsifier des certificats d'authentification</t>
  </si>
  <si>
    <t>Les adversaires peuvent voler ou falsifier des certificats utilisés pour l'authentification afin d'accéder à des systèmes ou des ressources distants. Les certificats numériques sont souvent utilisés pour signer et chiffrer des messages et/ou des fichiers. Les certificats sont également utilisés comme matériel d'authentification. Par exemple, les certificats d'appareil Entra ID et les certificats Active Directory Certificate Services (AD CS) se lient à une identité et peuvent être utilisés comme informations d'identification pour les comptes de domaine.</t>
  </si>
  <si>
    <t>Voler ou falsifier des tickets Kerberos</t>
  </si>
  <si>
    <t>Les adversaires peuvent tenter de contourner l'authentification Kerberos en volant ou en falsifiant des tickets Kerberos pour activer Pass the Ticket . Kerberos est un protocole d'authentification largement utilisé dans les environnements de domaine Windows modernes. Dans les environnements Kerberos, appelés « domaines », il existe trois participants de base : le client, le service et le centre de distribution de clés (KDC). Les clients demandent l'accès à un service et, grâce à l'échange de tickets Kerberos provenant du KDC, l'accès leur est accordé après s'être authentifiés avec succès. Le KDC est responsable à la fois de l'authentification et de l'octroi des tickets. Les adversaires peuvent tenter d'abuser de Kerberos en volant des tickets ou en falsifiant des tickets pour permettre un accès non autorisé.</t>
  </si>
  <si>
    <t>Billet d'or</t>
  </si>
  <si>
    <t>Les adversaires qui disposent du hachage du mot de passe du compte KRBTGT peuvent falsifier des tickets d'octroi de tickets Kerberos (TGT), également appelés tickets dorés. Les tickets dorés permettent aux adversaires de générer du matériel d'authentification pour n'importe quel compte dans Active Directory.</t>
  </si>
  <si>
    <t>Billet d'argent</t>
  </si>
  <si>
    <t>Les adversaires qui disposent du hachage du mot de passe d'un compte de service cible (par exemple SharePoint, MSSQL) peuvent falsifier des tickets TGS (Kerberos Ticket Granting Service), également appelés tickets Silver. Les tickets TGS Kerberos sont également appelés tickets de service.</t>
  </si>
  <si>
    <t>Les adversaires peuvent abuser d'un ticket d'octroi de tickets Kerberos valide (TGT) ou renifler le trafic réseau pour obtenir un ticket de service d'octroi de tickets (TGS) qui peut être vulnérable à la force brute .</t>
  </si>
  <si>
    <t>Torréfaction AS-REP</t>
  </si>
  <si>
    <t>Les adversaires peuvent révéler les informations d'identification des comptes qui ont désactivé la préauthentification Kerberos en craquant le mot de passe des messages Kerberos.</t>
  </si>
  <si>
    <t>Fichiers Ccache</t>
  </si>
  <si>
    <t>Les adversaires peuvent tenter de voler des tickets Kerberos stockés dans des fichiers cache d'informations d'identification (ou ccache). Ces fichiers sont utilisés pour le stockage à court terme des informations d'identification de session active d'un utilisateur. Le fichier ccache est créé lors de l'authentification de l'utilisateur et permet d'accéder à plusieurs services sans que l'utilisateur ait à ressaisir ses informations d'identification.</t>
  </si>
  <si>
    <t>Voler un cookie de session Web</t>
  </si>
  <si>
    <t>Un adversaire peut voler des cookies de session d'application ou de service Web et les utiliser pour accéder à des applications Web ou à des services Internet en tant qu'utilisateur authentifié sans avoir besoin d'informations d'identification. Les applications et services Web utilisent souvent des cookies de session comme jeton d'authentification après qu'un utilisateur s'est authentifié sur un site Web.</t>
  </si>
  <si>
    <t>Informations d'identification non sécurisées</t>
  </si>
  <si>
    <t>Informations d'identification dans les fichiers</t>
  </si>
  <si>
    <t>Les pirates peuvent rechercher des fichiers contenant des informations d'identification stockées de manière non sécurisée dans les systèmes de fichiers locaux et les partages de fichiers distants. Il peut s'agir de fichiers créés par des utilisateurs pour stocker leurs propres informations d'identification, de magasins d'informations d'identification partagés pour un groupe d'individus, de fichiers de configuration contenant des mots de passe pour un système ou un service, ou de fichiers de code source/binaires contenant des mots de passe intégrés.</t>
  </si>
  <si>
    <t>Informations d'identification dans le registre</t>
  </si>
  <si>
    <t>Les adversaires peuvent rechercher dans le Registre des systèmes compromis des informations d'identification stockées de manière non sécurisée. Le Registre Windows stocke des informations de configuration qui peuvent être utilisées par le système ou d'autres programmes. Les adversaires peuvent interroger le Registre à la recherche d'informations d'identification et de mots de passe qui ont été stockés pour être utilisés par d'autres programmes ou services. Parfois, ces informations d'identification sont utilisées pour les connexions automatiques.</t>
  </si>
  <si>
    <t>Histoire de Bash</t>
  </si>
  <si>
    <t>Clés privées</t>
  </si>
  <si>
    <t>Les pirates peuvent rechercher des fichiers de certificats de clés privées sur des systèmes compromis pour des informations d'identification stockées de manière non sécurisée. Les clés cryptographiques privées et les certificats sont utilisés pour l'authentification, le chiffrement/déchiffrement et les signatures numériques. Les extensions de fichiers de clés et de certificats courantes incluent : .key, .pgp, .gpg, .ppk., .p12, .pem, .pfx, .cer, .p7b, .asc.</t>
  </si>
  <si>
    <t>API de métadonnées d'instance cloud</t>
  </si>
  <si>
    <t>Les adversaires peuvent tenter d’accéder à l’API de métadonnées d’instance Cloud pour collecter des informations d’identification et d’autres données sensibles.</t>
  </si>
  <si>
    <t>Préférences de stratégie de groupe</t>
  </si>
  <si>
    <t>Les adversaires peuvent tenter de trouver des informations d'identification non sécurisées dans les préférences de stratégie de groupe (GPP). Les GPP sont des outils qui permettent aux administrateurs de créer des stratégies de domaine avec des informations d'identification intégrées. Ces stratégies permettent aux administrateurs de définir des comptes locaux.</t>
  </si>
  <si>
    <t>API de conteneur</t>
  </si>
  <si>
    <t>Les adversaires peuvent collecter des informations d'identification via des API dans un environnement de conteneurs. Les API de ces environnements, telles que l'API Docker et les API Kubernetes, permettent à un utilisateur de gérer à distance ses ressources de conteneur et ses composants de cluster.</t>
  </si>
  <si>
    <t>Messages de discussion</t>
  </si>
  <si>
    <t>Les adversaires peuvent collecter directement les identifiants non sécurisés stockés ou transmis via les services de communication des utilisateurs. Les identifiants peuvent être envoyés et stockés dans des applications de communication par chat des utilisateurs telles que la messagerie électronique, des services de chat comme Slack ou Teams, des outils de collaboration comme Jira ou Trello, et tout autre service prenant en charge la communication des utilisateurs. Les utilisateurs peuvent partager diverses formes d'identifiants (tels que des noms d'utilisateur et des mots de passe, des clés API ou des jetons d'authentification) sur des canaux de communication internes d'entreprise privés ou publics.</t>
  </si>
  <si>
    <t>Découverte</t>
  </si>
  <si>
    <t>Découverte de compte</t>
  </si>
  <si>
    <t>Les adversaires peuvent tenter d'obtenir une liste de comptes, de noms d'utilisateur ou d'adresses e-mail valides sur un système ou dans un environnement compromis. Ces informations peuvent aider les adversaires à déterminer quels comptes existent, ce qui peut faciliter les comportements ultérieurs tels que les attaques par force brute, les attaques de spear-phishing ou les prises de contrôle de comptes (par exemple, les comptes valides ).</t>
  </si>
  <si>
    <t>Les adversaires peuvent tenter d'obtenir une liste des comptes système locaux. Ces informations peuvent aider les adversaires à déterminer quels comptes locaux existent sur un système pour faciliter le suivi du comportement.</t>
  </si>
  <si>
    <t>Les adversaires peuvent tenter d'obtenir une liste des comptes de domaine. Ces informations peuvent aider les adversaires à déterminer quels comptes de domaine existent pour faciliter le suivi du comportement, comme le ciblage de comptes spécifiques possédant des privilèges particuliers.</t>
  </si>
  <si>
    <t>Compte de messagerie</t>
  </si>
  <si>
    <t>Les adversaires peuvent tenter d'obtenir une liste d'adresses e-mail et de comptes. Les adversaires peuvent essayer de vider des listes d'adresses Exchange telles que des listes d'adresses globales (GAL).</t>
  </si>
  <si>
    <t>Les adversaires peuvent tenter d'obtenir une liste de comptes cloud. Les comptes cloud sont ceux créés et configurés par une organisation pour être utilisés par les utilisateurs, l'assistance à distance, les services ou pour l'administration des ressources au sein d'un fournisseur de services cloud ou d'une application SaaS.</t>
  </si>
  <si>
    <t>Découverte de la fenêtre d'application</t>
  </si>
  <si>
    <t>Les adversaires peuvent tenter d'obtenir une liste des fenêtres d'application ouvertes. Les listes de fenêtres peuvent transmettre des informations sur la manière dont le système est utilisé. Par exemple, les informations sur les fenêtres d'application peuvent être utilisées pour identifier les données potentielles à collecter ainsi que les outils de sécurité ( Security Software Discovery ) à contourner.</t>
  </si>
  <si>
    <t>Découverte des informations du navigateur</t>
  </si>
  <si>
    <t>Les adversaires peuvent énumérer des informations sur les navigateurs pour en savoir plus sur les environnements compromis. Les données enregistrées par les navigateurs (comme les signets, les comptes et l'historique de navigation) peuvent révéler diverses informations personnelles sur les utilisateurs (par exemple, les sites bancaires, les relations/centres d'intérêt, les réseaux sociaux, etc.) ainsi que des détails sur les ressources internes du réseau telles que les serveurs, les outils/tableaux de bord ou d'autres infrastructures associées.</t>
  </si>
  <si>
    <t>Découverte de l'infrastructure cloud</t>
  </si>
  <si>
    <t>Un adversaire peut tenter de découvrir l'infrastructure et les ressources disponibles dans un environnement d'infrastructure en tant que service (IaaS). Cela inclut les ressources de services de calcul telles que les instances, les machines virtuelles et les snapshots, ainsi que les ressources d'autres services, notamment les services de stockage et de base de données.</t>
  </si>
  <si>
    <t>Tableau de bord du service cloud</t>
  </si>
  <si>
    <t>Un adversaire peut utiliser une interface utilisateur graphique de tableau de bord de service cloud avec des informations d'identification volées pour obtenir des informations utiles à partir d'un environnement cloud opérationnel, telles que des services, des ressources et des fonctionnalités spécifiques. Par exemple, le centre de commande GCP peut être utilisé pour afficher toutes les ressources, les résultats des risques de sécurité potentiels et pour exécuter des requêtes supplémentaires, telles que la recherche d'adresses IP publiques et de ports ouverts.</t>
  </si>
  <si>
    <t>Découverte de services cloud</t>
  </si>
  <si>
    <t>Un adversaire peut tenter d'énumérer les services cloud exécutés sur un système après y avoir obtenu l'accès. Ces méthodes peuvent différer de la plate-forme en tant que service (PaaS), à l'infrastructure en tant que service (IaaS) ou au logiciel en tant que service (SaaS). De nombreux services existent auprès des différents fournisseurs de cloud et peuvent inclure l'intégration continue et la livraison continue (CI/CD), les fonctions Lambda, Entra ID, etc. Ils peuvent également inclure des services de sécurité, tels qu'AWS GuardDuty et Microsoft Defender for Cloud, et des services de journalisation, tels qu'AWS CloudTrail et Google Cloud Audit Logs.</t>
  </si>
  <si>
    <t>Découverte d'objets de stockage dans le cloud</t>
  </si>
  <si>
    <t>Découverte de conteneurs et de ressources</t>
  </si>
  <si>
    <t>Les adversaires peuvent tenter de découvrir des conteneurs et d'autres ressources disponibles dans un environnement de conteneurs. D'autres ressources peuvent inclure des images, des déploiements, des pods, des nœuds et d'autres informations telles que l'état d'un cluster.</t>
  </si>
  <si>
    <t>Découverte de pilotes de périphériques</t>
  </si>
  <si>
    <t>Découverte de confiance de domaine</t>
  </si>
  <si>
    <t>Découverte de fichiers et de répertoires</t>
  </si>
  <si>
    <t>Les adversaires peuvent énumérer des fichiers et des répertoires ou rechercher certaines informations dans des emplacements spécifiques d'un hôte ou d'un partage réseau au sein d'un système de fichiers. Les adversaires peuvent utiliser les informations de la découverte de fichiers et de répertoires lors de la découverte automatisée pour façonner les comportements ultérieurs, notamment si l'adversaire infecte complètement la cible et/ou tente des actions spécifiques.</t>
  </si>
  <si>
    <t>Découverte de la stratégie de groupe</t>
  </si>
  <si>
    <t>Énumération des journaux</t>
  </si>
  <si>
    <t>Découverte de services réseau</t>
  </si>
  <si>
    <t>Les adversaires peuvent tenter d'obtenir une liste des services exécutés sur des hôtes distants et des périphériques d'infrastructure réseau locaux, y compris ceux qui peuvent être vulnérables à l'exploitation de logiciels à distance. Les méthodes courantes pour obtenir ces informations incluent les analyses de ports et/ou de vulnérabilités à l'aide d'outils intégrés à un système.</t>
  </si>
  <si>
    <t>Découverte de partage réseau</t>
  </si>
  <si>
    <t>Les adversaires peuvent rechercher des dossiers et des lecteurs partagés sur des systèmes distants afin d'identifier les sources d'informations à collecter en tant que précurseur de la collecte et d'identifier les systèmes potentiels d'intérêt pour le mouvement latéral. Les réseaux contiennent souvent des lecteurs et des dossiers réseau partagés qui permettent aux utilisateurs d'accéder aux répertoires de fichiers sur différents systèmes sur un réseau.</t>
  </si>
  <si>
    <t>Découverte de la politique de mot de passe</t>
  </si>
  <si>
    <t>Les adversaires peuvent tenter d'accéder à des informations détaillées sur la politique de mot de passe utilisée dans un réseau d'entreprise ou un environnement cloud. Les politiques de mot de passe sont un moyen d'imposer des mots de passe complexes, difficiles à deviner ou à déchiffrer par force brute . Ces informations peuvent aider l'adversaire à créer une liste de mots de passe courants et à lancer des attaques par dictionnaire et/ou par force brute qui respectent la politique (par exemple, si la longueur minimale du mot de passe doit être de 8, alors ne pas essayer de mots de passe tels que « pass123 » ; ne pas vérifier plus de 3 à 4 mots de passe par compte si le verrouillage est défini sur 6 afin de ne pas verrouiller les comptes).</t>
  </si>
  <si>
    <t>Découverte de périphériques</t>
  </si>
  <si>
    <t>Les adversaires peuvent tenter de recueillir des informations sur les périphériques et les composants connectés à un système informatique. Les périphériques peuvent inclure des ressources auxiliaires prenant en charge diverses fonctionnalités telles que des claviers, des imprimantes, des appareils photo, des lecteurs de cartes à puce ou des supports de stockage amovibles. Les informations peuvent être utilisées pour améliorer leur connaissance du système et de l'environnement réseau ou pour d'autres actions.</t>
  </si>
  <si>
    <t>Découverte des groupes d'autorisation</t>
  </si>
  <si>
    <t>Les adversaires peuvent tenter de découvrir les paramètres de groupe et d'autorisation. Ces informations peuvent aider les adversaires à déterminer quels comptes d'utilisateurs et groupes sont disponibles, l'appartenance des utilisateurs à des groupes particuliers et quels utilisateurs et groupes disposent d'autorisations élevées.</t>
  </si>
  <si>
    <t>Groupes locaux</t>
  </si>
  <si>
    <t>Les adversaires peuvent tenter de trouver des groupes de systèmes locaux et des paramètres d'autorisation. La connaissance des groupes d'autorisations des systèmes locaux peut aider les adversaires à déterminer quels groupes existent et quels utilisateurs appartiennent à un groupe particulier. Les adversaires peuvent utiliser ces informations pour déterminer quels utilisateurs disposent d'autorisations élevées, comme les utilisateurs trouvés dans le groupe des administrateurs locaux.</t>
  </si>
  <si>
    <t>Groupes de domaines</t>
  </si>
  <si>
    <t>Les adversaires peuvent tenter de trouver des groupes et des paramètres d'autorisation au niveau du domaine. La connaissance des groupes d'autorisation au niveau du domaine peut aider les adversaires à déterminer quels groupes existent et quels utilisateurs appartiennent à un groupe particulier. Les adversaires peuvent utiliser ces informations pour déterminer quels utilisateurs disposent d'autorisations élevées, comme les administrateurs de domaine.</t>
  </si>
  <si>
    <t>Groupes de nuages</t>
  </si>
  <si>
    <t>Les adversaires peuvent tenter de trouver des groupes de cloud et des paramètres d'autorisation. La connaissance des groupes d'autorisations de cloud peut aider les adversaires à déterminer les rôles particuliers des utilisateurs et des groupes au sein d'un environnement, ainsi que les utilisateurs associés à un groupe particulier.</t>
  </si>
  <si>
    <t>Découverte de processus</t>
  </si>
  <si>
    <t>Les adversaires peuvent tenter d'obtenir des informations sur les processus en cours d'exécution sur un système. Les informations obtenues peuvent être utilisées pour mieux comprendre les logiciels/applications courants exécutés sur les systèmes du réseau. Un accès administrateur ou un accès élevé peut fournir de meilleurs détails sur les processus. Les adversaires peuvent utiliser les informations de la découverte de processus lors de la découverte automatisée pour façonner les comportements ultérieurs, notamment si l'adversaire infecte complètement la cible et/ou tente des actions spécifiques.</t>
  </si>
  <si>
    <t>Registre de requêtes</t>
  </si>
  <si>
    <t>Les adversaires peuvent interagir avec le registre Windows pour collecter des informations sur le système, la configuration et les logiciels installés.</t>
  </si>
  <si>
    <t>Découverte de systèmes à distance</t>
  </si>
  <si>
    <t>Découverte de logiciels</t>
  </si>
  <si>
    <t>Les adversaires peuvent tenter d'obtenir une liste des logiciels et des versions de logiciels installés sur un système ou dans un environnement cloud. Les adversaires peuvent utiliser les informations de Software Discovery lors de la détection automatisée pour façonner les comportements ultérieurs, notamment si l'adversaire infecte complètement la cible et/ou tente des actions spécifiques.</t>
  </si>
  <si>
    <t>Découverte de logiciels de sécurité</t>
  </si>
  <si>
    <t>Les adversaires peuvent tenter d'obtenir une liste des logiciels de sécurité, des configurations, des outils de défense et des capteurs installés sur un système ou dans un environnement cloud. Cela peut inclure des éléments tels que des agents de surveillance cloud et des antivirus. Les adversaires peuvent utiliser les informations de Security Software Discovery lors de la découverte automatisée pour façonner les comportements de suivi, notamment si l'adversaire infecte complètement la cible et/ou tente des actions spécifiques.</t>
  </si>
  <si>
    <t>Découverte des informations système</t>
  </si>
  <si>
    <t>Un adversaire peut tenter d'obtenir des informations détaillées sur le système d'exploitation et le matériel, notamment la version, les correctifs, les correctifs logiciels, les Service Packs et l'architecture. Les adversaires peuvent utiliser les informations de System Information Discovery lors de la détection automatisée pour façonner les comportements ultérieurs, notamment si l'adversaire infecte complètement la cible et/ou tente des actions spécifiques.</t>
  </si>
  <si>
    <t>Découverte de l'emplacement du système</t>
  </si>
  <si>
    <t>Les adversaires peuvent recueillir des informations pour tenter de calculer l'emplacement géographique d'un hôte victime. Les adversaires peuvent utiliser les informations de la découverte de l'emplacement du système lors de la découverte automatisée pour façonner les comportements ultérieurs, notamment si l'adversaire infecte complètement la cible et/ou tente des actions spécifiques.</t>
  </si>
  <si>
    <t>Découverte du langage système</t>
  </si>
  <si>
    <t>Les adversaires peuvent tenter de recueillir des informations sur la langue du système d'une victime afin de déduire la localisation géographique de cet hôte. Ces informations peuvent être utilisées pour façonner les comportements ultérieurs, notamment si l'adversaire infecte la cible et/ou tente des actions spécifiques. Cette décision peut être utilisée par les développeurs et les opérateurs de logiciels malveillants pour réduire leur risque d'attirer l'attention d'organismes spécifiques chargés de l'application de la loi ou de faire l'objet de poursuites/d'un contrôle de la part d'autres entités.</t>
  </si>
  <si>
    <t>Découverte de la configuration du réseau système</t>
  </si>
  <si>
    <t>Découverte de connexion Internet</t>
  </si>
  <si>
    <t>Les adversaires peuvent vérifier la connectivité Internet sur les systèmes compromis. Cela peut être effectué lors de la découverte automatisée et peut être accompli de plusieurs manières, telles que l'utilisation de requêtes Ping , tracertet GET sur les sites Web.</t>
  </si>
  <si>
    <t>Découverte Wi-Fi</t>
  </si>
  <si>
    <t>Découverte des connexions réseau du système</t>
  </si>
  <si>
    <t>Les adversaires peuvent tenter d'obtenir une liste des connexions réseau vers ou depuis le système compromis auquel ils accèdent actuellement ou depuis des systèmes distants en demandant des informations sur le réseau.</t>
  </si>
  <si>
    <t>Découverte du propriétaire/utilisateur du système</t>
  </si>
  <si>
    <t>Découverte des services système</t>
  </si>
  <si>
    <t>Découverte de l'heure système</t>
  </si>
  <si>
    <t>Mouvement latéral</t>
  </si>
  <si>
    <t>Exploitation des services à distance</t>
  </si>
  <si>
    <t>Les adversaires peuvent exploiter des services distants pour obtenir un accès non autorisé aux systèmes internes une fois à l'intérieur d'un réseau. L'exploitation d'une vulnérabilité logicielle se produit lorsqu'un adversaire profite d'une erreur de programmation dans un programme, un service ou dans le logiciel du système d'exploitation ou le noyau lui-même pour exécuter un code contrôlé par l'adversaire. Un objectif courant de l'exploitation post-compromission de services distants est de permettre un mouvement latéral pour permettre l'accès à un système distant.</t>
  </si>
  <si>
    <t>Spearphishing interne</t>
  </si>
  <si>
    <t>Une fois qu'ils ont déjà accès aux comptes ou aux systèmes de l'environnement, les adversaires peuvent utiliser le spearphishing interne pour accéder à des informations supplémentaires ou compromettre d'autres utilisateurs au sein de la même organisation. Le spearphishing interne est une campagne en plusieurs étapes où un compte légitime est initialement compromis soit en contrôlant l'appareil de l'utilisateur, soit en compromettant les informations d'identification du compte de l'utilisateur. Les adversaires peuvent ensuite tenter de tirer parti du compte interne de confiance pour augmenter la probabilité de tromper davantage de victimes et les amener à tomber dans le piège des tentatives de phishing, souvent en incorporant l'usurpation d'identité .</t>
  </si>
  <si>
    <t>Transfert latéral d'outils</t>
  </si>
  <si>
    <t>Les adversaires peuvent transférer des outils ou d'autres fichiers entre les systèmes dans un environnement compromis. Une fois introduits dans l'environnement de la victime (c'est-à-dire, transfert d'outils Ingress ), les fichiers peuvent ensuite être copiés d'un système à un autre pour mettre en scène des outils ou d'autres fichiers adverses au cours d'une opération.</t>
  </si>
  <si>
    <t>Détournement de session de service à distance</t>
  </si>
  <si>
    <t>Les adversaires peuvent prendre le contrôle de sessions préexistantes avec des services distants pour se déplacer latéralement dans un environnement. Les utilisateurs peuvent utiliser des informations d'identification valides pour se connecter à un service spécialement conçu pour accepter les connexions à distance, comme Telnet, SSH et RDP. Lorsqu'un utilisateur se connecte à un service, une session est établie qui lui permet de maintenir une interaction continue avec ce service.</t>
  </si>
  <si>
    <t>Détournement SSH</t>
  </si>
  <si>
    <t>Les adversaires peuvent détourner la session SSH d'un utilisateur légitime pour se déplacer latéralement dans un environnement. Secure Shell (SSH) est un moyen standard d'accès à distance sur les systèmes Linux et macOS. Il permet à un utilisateur de se connecter à un autre système via un tunnel chiffré, en s'authentifiant généralement via un mot de passe, un certificat ou l'utilisation d'une paire de clés de chiffrement asymétrique.</t>
  </si>
  <si>
    <t>Détournement RDP</t>
  </si>
  <si>
    <t>Les adversaires peuvent détourner la session de bureau à distance d'un utilisateur légitime pour se déplacer latéralement dans un environnement. Le bureau à distance est une fonctionnalité courante dans les systèmes d'exploitation. Il permet à un utilisateur de se connecter à une session interactive avec une interface utilisateur graphique de bureau système sur un système distant. Microsoft fait référence à son implémentation du protocole RDP (Remote Desktop Protocol) sous le nom de Remote Desktop Services (RDS).</t>
  </si>
  <si>
    <t>Services à distance</t>
  </si>
  <si>
    <t>Les adversaires peuvent utiliser des comptes valides pour se connecter à un service qui accepte les connexions à distance, comme Telnet, SSH et VNC. L'adversaire peut alors effectuer des actions en tant qu'utilisateur connecté.</t>
  </si>
  <si>
    <t>Protocole de bureau à distance</t>
  </si>
  <si>
    <t>Les adversaires peuvent utiliser des comptes valides pour se connecter à un ordinateur à l'aide du protocole RDP (Remote Desktop Protocol). L'adversaire peut alors effectuer des actions en tant qu'utilisateur connecté.</t>
  </si>
  <si>
    <t>Partages d'administrateur SMB/Windows</t>
  </si>
  <si>
    <t>Les adversaires peuvent utiliser des comptes valides pour interagir avec un partage réseau distant à l'aide de Server Message Block (SMB). L'adversaire peut alors effectuer des actions en tant qu'utilisateur connecté.</t>
  </si>
  <si>
    <t>Modèle d'objet de composant distribué</t>
  </si>
  <si>
    <t>Les adversaires peuvent utiliser des comptes valides pour interagir avec des machines distantes en tirant parti du modèle d'objet de composant distribué (DCOM). L'adversaire peut alors effectuer des actions en tant qu'utilisateur connecté.</t>
  </si>
  <si>
    <t>Les adversaires peuvent utiliser des comptes valides pour se connecter à des machines distantes à l'aide de Secure Shell (SSH). L'adversaire peut alors effectuer des actions en tant qu'utilisateur connecté.</t>
  </si>
  <si>
    <t>Les adversaires peuvent utiliser des comptes valides pour contrôler à distance des machines à l'aide de Virtual Network Computing (VNC). VNC est un système de partage de bureau indépendant de la plate-forme qui utilise le protocole RFB (« remote framebuffer ») pour permettre aux utilisateurs de contrôler à distance l'écran d'un autre ordinateur en relayant les entrées de l'écran, de la souris et du clavier sur le réseau.</t>
  </si>
  <si>
    <t>Gestion à distance de Windows</t>
  </si>
  <si>
    <t>Les adversaires peuvent utiliser des comptes valides pour interagir avec des systèmes distants à l'aide de la gestion à distance Windows (WinRM). L'adversaire peut alors effectuer des actions en tant qu'utilisateur connecté.</t>
  </si>
  <si>
    <t>Services Cloud</t>
  </si>
  <si>
    <t>Les adversaires peuvent se connecter à des services cloud accessibles dans un environnement compromis à l'aide de comptes valides synchronisés ou fédérés avec des identités d'utilisateur sur site. L'adversaire peut ensuite effectuer des actions de gestion ou accéder aux ressources hébergées dans le cloud en tant qu'utilisateur connecté.</t>
  </si>
  <si>
    <t>Connexions directes aux machines virtuelles dans le cloud</t>
  </si>
  <si>
    <t>Contaminer le contenu partagé</t>
  </si>
  <si>
    <t>Les adversaires peuvent transmettre des charges utiles à des systèmes distants en ajoutant du contenu à des emplacements de stockage partagés, tels que des lecteurs réseau ou des référentiels de code internes. Le contenu stocké sur des lecteurs réseau ou dans d'autres emplacements partagés peut être corrompu en ajoutant des programmes malveillants, des scripts ou du code d'exploitation à des fichiers par ailleurs valides. Une fois qu'un utilisateur ouvre le contenu corrompu partagé, la partie malveillante peut être exécutée pour exécuter le code de l'adversaire sur un système distant. Les adversaires peuvent utiliser le contenu partagé corrompu pour se déplacer latéralement.</t>
  </si>
  <si>
    <t>Archiver les données collectées</t>
  </si>
  <si>
    <t>Un adversaire peut compresser et/ou chiffrer les données collectées avant l'exfiltration. La compression des données peut aider à masquer les données collectées et à minimiser la quantité de données envoyées sur le réseau. Le chiffrement peut être utilisé pour masquer les informations exfiltrées ou pour rendre l'exfiltration moins visible lors de l'inspection par un défenseur.</t>
  </si>
  <si>
    <t>Archiver via Utilitaire</t>
  </si>
  <si>
    <t>Les adversaires peuvent utiliser des utilitaires pour compresser et/ou crypter les données collectées avant leur exfiltration. De nombreux utilitaires incluent des fonctionnalités permettant de compresser, crypter ou regrouper les données dans un format plus facile/plus sûr à transporter.</t>
  </si>
  <si>
    <t>Archives via la bibliothèque</t>
  </si>
  <si>
    <t>Un adversaire peut compresser ou chiffrer les données collectées avant l'exfiltration à l'aide de bibliothèques tierces. Il existe de nombreuses bibliothèques capables d'archiver des données, notamment Python rarfile , libzip et zlib . La plupart des bibliothèques incluent des fonctionnalités permettant de chiffrer et/ou de compresser les données.</t>
  </si>
  <si>
    <t>Archiver via une méthode personnalisée</t>
  </si>
  <si>
    <t>Un adversaire peut compresser ou chiffrer les données collectées avant l'exfiltration à l'aide d'une méthode personnalisée. Les adversaires peuvent choisir d'utiliser des méthodes d'archivage personnalisées, telles que le chiffrement avec XOR ou les chiffrements de flux implémentés sans références à une bibliothèque ou à un utilitaire externe. Des implémentations personnalisées d'algorithmes de compression bien connus ont également été utilisées.</t>
  </si>
  <si>
    <t>Capture audio</t>
  </si>
  <si>
    <t>Un adversaire peut exploiter les périphériques d'un ordinateur (par exemple, les microphones et les webcams) ou les applications (par exemple, les services d'appels vocaux et vidéo) pour capturer des enregistrements audio dans le but d'écouter des conversations sensibles afin de recueillir des informations.</t>
  </si>
  <si>
    <t>Collecte automatisée</t>
  </si>
  <si>
    <t>Une fois établi dans un système ou un réseau, un adversaire peut utiliser des techniques automatisées pour collecter des données internes. Les méthodes permettant d'exécuter cette technique peuvent inclure l'utilisation d'un interpréteur de commandes et de scripts pour rechercher et copier des informations correspondant à des critères définis tels que le type de fichier, l'emplacement ou le nom à des intervalles de temps spécifiques.</t>
  </si>
  <si>
    <t>Détournement de session de navigateur</t>
  </si>
  <si>
    <t>Les adversaires peuvent profiter des vulnérabilités de sécurité et des fonctionnalités inhérentes aux logiciels de navigation pour modifier le contenu, modifier les comportements des utilisateurs et intercepter des informations dans le cadre de diverses techniques de piratage de session de navigateur.</t>
  </si>
  <si>
    <t>Données du presse-papiers</t>
  </si>
  <si>
    <t>Les adversaires peuvent collecter des données stockées dans le presse-papiers auprès des utilisateurs qui copient des informations au sein ou entre des applications.</t>
  </si>
  <si>
    <t>Données du stockage cloud</t>
  </si>
  <si>
    <t>Les adversaires peuvent accéder aux données à partir du stockage cloud.</t>
  </si>
  <si>
    <t>Données du référentiel de configuration</t>
  </si>
  <si>
    <t>Les adversaires peuvent collecter des données relatives aux périphériques gérés à partir de référentiels de configuration. Les référentiels de configuration sont utilisés par les systèmes de gestion pour configurer, gérer et contrôler les données sur les systèmes distants. Les référentiels de configuration peuvent également faciliter l'accès et l'administration à distance des périphériques.</t>
  </si>
  <si>
    <t>SNMP (vidage MIB)</t>
  </si>
  <si>
    <t>Les adversaires peuvent cibler la base d'informations de gestion (MIB) pour collecter et/ou exploiter des informations précieuses dans un réseau géré à l'aide du protocole SNMP (Simple Network Management Protocol).</t>
  </si>
  <si>
    <t>Vidage de configuration du périphérique réseau</t>
  </si>
  <si>
    <t>Les adversaires peuvent accéder aux fichiers de configuration réseau pour collecter des données sensibles sur l'appareil et le réseau. La configuration réseau est un fichier contenant des paramètres qui déterminent le fonctionnement de l'appareil. L'appareil stocke généralement une copie en mémoire de la configuration pendant son fonctionnement, ainsi qu'une configuration distincte sur un stockage non volatil à charger après la réinitialisation de l'appareil. Les adversaires peuvent inspecter les fichiers de configuration pour révéler des informations sur le réseau cible et sa disposition, le périphérique réseau et son logiciel, ou identifier des comptes et des informations d'identification légitimes pour une utilisation ultérieure.</t>
  </si>
  <si>
    <t>Données provenant de référentiels d'informations</t>
  </si>
  <si>
    <t>Les adversaires peuvent exploiter les référentiels d'informations pour extraire des informations précieuses. Les référentiels d'informations sont des outils qui permettent de stocker des informations, généralement pour faciliter la collaboration ou le partage d'informations entre les utilisateurs, et peuvent stocker une grande variété de données qui peuvent aider les adversaires dans d'autres objectifs, tels que l'accès aux informations d'identification, le mouvement latéral ou l'évasion de défense, ou l'accès direct aux informations ciblées. Les adversaires peuvent également abuser des fonctionnalités de partage externe pour partager des documents sensibles avec des destinataires extérieurs à l'organisation (c'est-à-dire transférer des données vers un compte cloud ).</t>
  </si>
  <si>
    <t>Les adversaires peuvent exploiter les référentiels Confluence pour extraire des informations précieuses. Souvent présent dans les environnements de développement aux côtés d'Atlassian JIRA, Confluence est généralement utilisé pour stocker la documentation liée au développement. Cependant, il peut généralement contenir des catégories plus diverses d'informations utiles, telles que :</t>
  </si>
  <si>
    <t>Les adversaires peuvent exploiter le référentiel SharePoint comme source d'informations précieuses. SharePoint contient souvent des informations utiles pour permettre à un adversaire d'en savoir plus sur la structure et la fonctionnalité du réseau et des systèmes internes. Par exemple, voici une liste d'exemples d'informations qui peuvent avoir une valeur potentielle pour un adversaire et qui peuvent également être trouvées sur SharePoint :</t>
  </si>
  <si>
    <t>Les adversaires peuvent exploiter les référentiels de code pour collecter des informations précieuses. Les référentiels de code sont des outils/services qui stockent le code source et automatisent la création de logiciels. Ils peuvent être hébergés en interne ou en privé sur des sites tiers tels que Github, GitLab, SourceForge et BitBucket. Les utilisateurs interagissent généralement avec les référentiels de code via une application Web ou des utilitaires de ligne de commande tels que git.</t>
  </si>
  <si>
    <t>Logiciel de gestion de la relation client</t>
  </si>
  <si>
    <t>Les adversaires peuvent exploiter les logiciels de gestion de la relation client (CRM) pour extraire des informations précieuses. Les logiciels CRM sont utilisés pour aider les organisations à suivre et à gérer les interactions avec les clients, ainsi qu'à stocker les données client.</t>
  </si>
  <si>
    <t>Applications de messagerie</t>
  </si>
  <si>
    <t>Les adversaires peuvent exploiter des applications de chat et de messagerie, telles que Microsoft Teams, Google Chat et Slack, pour extraire des informations précieuses.</t>
  </si>
  <si>
    <t>Données du système local</t>
  </si>
  <si>
    <t>Les adversaires peuvent rechercher des sources de systèmes locaux, telles que des systèmes de fichiers et des fichiers de configuration ou des bases de données locales, pour trouver des fichiers d'intérêt et des données sensibles avant l'exfiltration.</t>
  </si>
  <si>
    <t>Données du lecteur partagé en réseau</t>
  </si>
  <si>
    <t>Les adversaires peuvent rechercher des partages réseau sur les ordinateurs qu'ils ont compromis pour trouver des fichiers intéressants. Des données sensibles peuvent être collectées à partir de systèmes distants via des lecteurs réseau partagés (répertoire partagé de l'hôte, serveur de fichiers réseau, etc.) qui sont accessibles à partir du système actuel avant l'exfiltration. Des shells de commande interactifs peuvent être utilisés et des fonctionnalités communes dans cmd peuvent être utilisées pour collecter des informations.</t>
  </si>
  <si>
    <t>Données provenant de supports amovibles</t>
  </si>
  <si>
    <t>Les adversaires peuvent rechercher des supports amovibles connectés sur les ordinateurs qu'ils ont compromis pour trouver des fichiers intéressants. Des données sensibles peuvent être collectées à partir de n'importe quel support amovible (lecteur de disque optique, mémoire USB, etc.) connecté au système compromis avant l'exfiltration. Des shells de commande interactifs peuvent être utilisés et des fonctionnalités communes dans cmd peuvent être utilisées pour collecter des informations.</t>
  </si>
  <si>
    <t>Données mises en scène</t>
  </si>
  <si>
    <t>Mise en scène des données locales</t>
  </si>
  <si>
    <t>Mise en scène de données à distance</t>
  </si>
  <si>
    <t>Collecte de courrier électronique</t>
  </si>
  <si>
    <t>Les adversaires peuvent cibler les e-mails des utilisateurs pour collecter des informations sensibles. Les e-mails peuvent contenir des données sensibles, notamment des secrets commerciaux ou des informations personnelles, qui peuvent s'avérer précieuses pour les adversaires. Les e-mails peuvent également contenir des détails sur les opérations de réponse aux incidents en cours, ce qui peut permettre aux adversaires d'ajuster leurs techniques afin de maintenir la persistance ou d'échapper aux défenses. Les adversaires peuvent collecter ou transférer des e-mails à partir de serveurs ou de clients de messagerie.</t>
  </si>
  <si>
    <t>Collecte de courrier électronique local</t>
  </si>
  <si>
    <t>Les adversaires peuvent cibler les e-mails des utilisateurs sur les systèmes locaux pour collecter des informations sensibles. Les fichiers contenant des données de courrier électronique peuvent être acquis à partir du système local d'un utilisateur, comme les fichiers de stockage ou de cache Outlook.</t>
  </si>
  <si>
    <t>Collecte d'e-mails à distance</t>
  </si>
  <si>
    <t>Les adversaires peuvent cibler un serveur Exchange, Office 365 ou Google Workspace pour collecter des informations sensibles. Les adversaires peuvent exploiter les informations d'identification d'un utilisateur et interagir directement avec le serveur Exchange pour acquérir des informations à partir d'un réseau. Les adversaires peuvent également accéder aux services Exchange externes, à Office 365 ou à Google Workspace pour accéder aux e-mails à l'aide d'informations d'identification ou de jetons d'accès. Des outils tels que MailSniper peuvent être utilisés pour automatiser les recherches de mots clés spécifiques.</t>
  </si>
  <si>
    <t>Règle de transfert de courrier électronique</t>
  </si>
  <si>
    <t>Les adversaires peuvent configurer des règles de transfert de courrier électronique pour collecter des informations sensibles. Ils peuvent abuser des règles de transfert de courrier électronique pour surveiller les activités d'une victime, voler des informations et obtenir des renseignements supplémentaires sur la victime ou l'organisation de la victime afin de les utiliser dans le cadre d'autres exploits ou opérations. En outre, les règles de transfert de courrier électronique peuvent permettre aux adversaires de maintenir un accès permanent aux courriers électroniques de la victime même après la réinitialisation des informations d'identification compromises par les administrateurs. La plupart des clients de messagerie permettent aux utilisateurs de créer des règles de boîte de réception pour diverses fonctions de messagerie, y compris le transfert vers un autre destinataire. Ces règles peuvent être créées via une application de messagerie locale, une interface Web ou une interface de ligne de commande. Les messages peuvent être transférés vers des destinataires internes ou externes, et aucune restriction ne limite l'étendue de cette règle. Les administrateurs peuvent également créer des règles de transfert pour les comptes d'utilisateur avec les mêmes considérations et résultats.</t>
  </si>
  <si>
    <t>Capture d'écran</t>
  </si>
  <si>
    <t>Capture vidéo</t>
  </si>
  <si>
    <t>Un adversaire peut exploiter les périphériques d'un ordinateur (par exemple, les caméras intégrées ou les webcams) ou les applications (par exemple, les services d'appel vidéo) pour capturer des enregistrements vidéo dans le but de recueillir des informations. Des images peuvent également être capturées à partir d'appareils ou d'applications, potentiellement à des intervalles spécifiés, au lieu de fichiers vidéo.</t>
  </si>
  <si>
    <t>Commande et contrôle</t>
  </si>
  <si>
    <t>Protocole de couche d'application</t>
  </si>
  <si>
    <t>Les adversaires peuvent communiquer à l'aide des protocoles de la couche application OSI pour éviter la détection/le filtrage réseau en se fondant dans le trafic existant. Les commandes envoyées au système distant, et souvent les résultats de ces commandes, seront intégrés au trafic du protocole entre le client et le serveur.</t>
  </si>
  <si>
    <t>Protocoles Web</t>
  </si>
  <si>
    <t>Les adversaires peuvent communiquer à l'aide de protocoles de couche d'application associés au trafic Web pour éviter la détection/le filtrage réseau en se fondant dans le trafic existant. Les commandes envoyées au système distant, et souvent les résultats de ces commandes, seront intégrés au trafic de protocole entre le client et le serveur.</t>
  </si>
  <si>
    <t>Protocoles de transfert de fichiers</t>
  </si>
  <si>
    <t>Les adversaires peuvent communiquer à l'aide de protocoles de couche d'application associés au transfert de fichiers pour éviter la détection/le filtrage réseau en se fondant dans le trafic existant. Les commandes envoyées au système distant, et souvent les résultats de ces commandes, seront intégrés au trafic de protocole entre le client et le serveur.</t>
  </si>
  <si>
    <t>Protocoles de messagerie</t>
  </si>
  <si>
    <t>Les adversaires peuvent communiquer en utilisant des protocoles de couche application associés à la distribution de courrier électronique pour éviter la détection/le filtrage réseau en se fondant dans le trafic existant. Les commandes envoyées au système distant, et souvent les résultats de ces commandes, seront intégrés au trafic de protocole entre le client et le serveur.</t>
  </si>
  <si>
    <t>Les adversaires peuvent communiquer en utilisant le protocole de couche d'application DNS (Domain Name System) pour éviter la détection/le filtrage réseau en se fondant dans le trafic existant. Les commandes envoyées au système distant, et souvent les résultats de ces commandes, seront intégrés au trafic du protocole entre le client et le serveur.</t>
  </si>
  <si>
    <t>Protocoles de publication/abonnement</t>
  </si>
  <si>
    <t>Les adversaires peuvent communiquer à l'aide de protocoles de couche d'application de publication/abonnement (pub/sub) pour éviter la détection/le filtrage réseau en se fondant dans le trafic existant. Les commandes envoyées au système distant, et souvent les résultats de ces commandes, seront intégrés au trafic de protocole entre le client et le serveur.</t>
  </si>
  <si>
    <t>Communication via des supports amovibles</t>
  </si>
  <si>
    <t>Les adversaires peuvent effectuer des commandes et des contrôles entre des hôtes compromis sur des réseaux potentiellement déconnectés en utilisant des supports amovibles pour transférer des commandes d'un système à un autre. Les deux systèmes doivent être compromis, avec la probabilité qu'un système connecté à Internet soit compromis en premier et le second par un mouvement latéral par réplication via un support amovible . Les commandes et les fichiers seraient relayés du système déconnecté au système connecté à Internet auquel l'adversaire a un accès direct.</t>
  </si>
  <si>
    <t>Codage des données</t>
  </si>
  <si>
    <t>Les adversaires peuvent coder les données pour rendre le contenu du trafic de commande et de contrôle plus difficile à détecter. Les informations de commande et de contrôle (C2) peuvent être codées à l'aide d'un système de codage de données standard. L'utilisation du codage de données peut respecter les spécifications de protocole existantes et inclure l'utilisation de systèmes de codage ASCII, Unicode, Base64, MIME ou d'autres systèmes de codage binaire-texte et de caractères. Certains systèmes de codage de données peuvent également entraîner une compression des données, comme gzip.</t>
  </si>
  <si>
    <t>Codage standard</t>
  </si>
  <si>
    <t>Les adversaires peuvent coder les données avec un système de codage de données standard pour rendre le contenu du trafic de commande et de contrôle plus difficile à détecter. Les informations de commande et de contrôle (C2) peuvent être codées à l'aide d'un système de codage de données standard qui adhère aux spécifications de protocole existantes. Les schémas de codage de données courants incluent ASCII, Unicode, hexadécimal, Base64 et MIME. Certains systèmes de codage de données peuvent également entraîner une compression des données, comme gzip.</t>
  </si>
  <si>
    <t>Codage non standard</t>
  </si>
  <si>
    <t>Les adversaires peuvent coder les données avec un système de codage de données non standard pour rendre le contenu du trafic de commande et de contrôle plus difficile à détecter. Les informations de commande et de contrôle (C2) peuvent être codées à l'aide d'un système de codage de données non standard qui s'écarte des spécifications de protocole existantes. Les schémas de codage de données non standard peuvent être basés sur des schémas de codage de données standard ou liés à ceux-ci, tels qu'un codage Base64 modifié pour le corps du message d'une requête HTTP.</t>
  </si>
  <si>
    <t>Obscurcissement des données</t>
  </si>
  <si>
    <t>Les adversaires peuvent masquer le trafic de commande et de contrôle pour le rendre plus difficile à détecter. Les communications de commande et de contrôle (C2) sont masquées (mais pas nécessairement cryptées) pour tenter de rendre le contenu plus difficile à découvrir ou à déchiffrer, de rendre la communication moins visible et de masquer les commandes. Cela englobe de nombreuses méthodes, telles que l'ajout de données indésirables au trafic de protocole, l'utilisation de la stéganographie ou l'usurpation d'identité de protocoles légitimes.</t>
  </si>
  <si>
    <t>Données indésirables</t>
  </si>
  <si>
    <t>Les adversaires peuvent ajouter des données indésirables aux protocoles utilisés pour le commandement et le contrôle afin de rendre la détection plus difficile. En ajoutant des données aléatoires ou dénuées de sens aux protocoles utilisés pour le commandement et le contrôle, les adversaires peuvent empêcher des méthodes triviales de décodage, de déchiffrement ou d'analyse du trafic. Les exemples peuvent inclure l'ajout/le préfixe de données avec des caractères indésirables ou l'écriture de caractères indésirables entre des caractères significatifs.</t>
  </si>
  <si>
    <t>Les adversaires peuvent utiliser des techniques stéganographiques pour masquer le trafic de commande et de contrôle afin de rendre les efforts de détection plus difficiles. Les techniques stéganographiques peuvent être utilisées pour masquer des données dans des messages numériques transférés entre des systèmes. Ces informations cachées peuvent être utilisées pour la commande et le contrôle des systèmes compromis. Dans certains cas, la transmission de fichiers intégrés à l'aide de la stéganographie, tels que des fichiers d'image ou de document, peut être utilisée pour la commande et le contrôle.</t>
  </si>
  <si>
    <t>Usurpation d'identité de protocole ou de service</t>
  </si>
  <si>
    <t>Les adversaires peuvent se faire passer pour des protocoles ou des services Web légitimes afin de dissimuler l'activité de commandement et de contrôle et de contrecarrer les efforts d'analyse. En se faisant passer pour des protocoles ou des services Web légitimes, les adversaires peuvent faire en sorte que leur trafic de commandement et de contrôle se fonde dans le trafic réseau légitime.</t>
  </si>
  <si>
    <t>Résolution dynamique</t>
  </si>
  <si>
    <t>Les adversaires peuvent établir des connexions dynamiques à l'infrastructure de commandement et de contrôle pour échapper aux détections et aux corrections courantes. Cela peut être réalisé en utilisant un logiciel malveillant qui partage un algorithme commun avec l'infrastructure utilisée par l'adversaire pour recevoir les communications du logiciel malveillant. Ces calculs peuvent être utilisés pour ajuster dynamiquement des paramètres tels que le nom de domaine, l'adresse IP ou le numéro de port que le logiciel malveillant utilise pour le commandement et le contrôle.</t>
  </si>
  <si>
    <t>DNS Fast Flux</t>
  </si>
  <si>
    <t>Les adversaires peuvent utiliser le DNS Fast Flux pour masquer un canal de commande et de contrôle derrière un ensemble d'adresses IP à évolution rapide liées à une résolution de domaine unique. Cette technique utilise un nom de domaine complet, auquel sont attribuées plusieurs adresses IP qui sont échangées à haute fréquence, en utilisant une combinaison d'adressage IP à tour de rôle et de durée de vie courte (TTL) pour un enregistrement de ressource DNS.</t>
  </si>
  <si>
    <t>Algorithmes de génération de domaine</t>
  </si>
  <si>
    <t>Les adversaires peuvent utiliser des algorithmes de génération de domaine (DGA) pour identifier de manière dynamique un domaine de destination pour le trafic de commande et de contrôle plutôt que de s'appuyer sur une liste d'adresses IP ou de domaines statiques. Cela présente l'avantage de rendre beaucoup plus difficile pour les défenseurs de bloquer, de suivre ou de prendre le contrôle du canal de commande et de contrôle, car il peut potentiellement y avoir des milliers de domaines que les logiciels malveillants peuvent vérifier pour obtenir des instructions.</t>
  </si>
  <si>
    <t>Calcul DNS</t>
  </si>
  <si>
    <t>Les adversaires peuvent effectuer des calculs sur les adresses renvoyées dans les résultats DNS pour déterminer le port et l'adresse IP à utiliser pour la commande et le contrôle, plutôt que de s'appuyer sur un numéro de port prédéterminé ou sur l'adresse IP renvoyée réelle. Un calcul d'adresse IP et/ou de numéro de port peut être utilisé pour contourner le filtrage de sortie sur un canal C2.</t>
  </si>
  <si>
    <t>Chaîne cryptée</t>
  </si>
  <si>
    <t>Les adversaires peuvent utiliser un algorithme de chiffrement pour dissimuler le trafic de commande et de contrôle plutôt que de s'appuyer sur les protections inhérentes fournies par un protocole de communication. Malgré l'utilisation d'un algorithme sécurisé, ces implémentations peuvent être vulnérables à la rétro-ingénierie si les clés secrètes sont codées et/ou générées dans des échantillons de logiciels malveillants/fichiers de configuration.</t>
  </si>
  <si>
    <t>Cryptographie symétrique</t>
  </si>
  <si>
    <t>Les adversaires peuvent utiliser un algorithme de chiffrement symétrique connu pour dissimuler le trafic de commande et de contrôle plutôt que de s'appuyer sur les protections inhérentes fournies par un protocole de communication. Les algorithmes de chiffrement symétrique utilisent la même clé pour le chiffrement en texte clair et le déchiffrement en texte chiffré. Les algorithmes de chiffrement symétrique courants incluent AES, DES, 3DES, Blowfish et RC4.</t>
  </si>
  <si>
    <t>Cryptographie asymétrique</t>
  </si>
  <si>
    <t>Les adversaires peuvent utiliser un algorithme de chiffrement asymétrique connu pour dissimuler le trafic de commande et de contrôle plutôt que de s'appuyer sur les protections inhérentes fournies par un protocole de communication. La cryptographie asymétrique, également connue sous le nom de cryptographie à clé publique, utilise une paire de clés par partie : une clé publique qui peut être librement distribuée et une clé privée. En raison de la manière dont les clés sont générées, l'expéditeur crypte les données avec la clé publique du destinataire et le destinataire décrypte les données avec sa clé privée. Cela garantit que seul le destinataire prévu peut lire les données cryptées. Les algorithmes de chiffrement à clé publique courants incluent RSA et ElGamal.</t>
  </si>
  <si>
    <t>Canaux de secours</t>
  </si>
  <si>
    <t>Les adversaires peuvent utiliser des canaux de communication de secours ou alternatifs si le canal principal est compromis ou inaccessible afin de maintenir un commandement et un contrôle fiables et d'éviter les seuils de transfert de données.</t>
  </si>
  <si>
    <t>Masquer l'infrastructure</t>
  </si>
  <si>
    <t>Les adversaires peuvent manipuler le trafic réseau afin de dissimuler et d'échapper à la détection de leur infrastructure C2. Cela peut se faire de différentes manières, notamment en identifiant et en filtrant le trafic provenant d'outils défensifs, en masquant les domaines malveillants pour dissimuler la véritable destination aux outils d'analyse automatisés et aux chercheurs en sécurité, et en masquant les artefacts malveillants pour retarder la découverte et prolonger l'efficacité de l'infrastructure adverse qui pourrait autrement être identifiée, bloquée ou complètement démantelée.</t>
  </si>
  <si>
    <t>Transfert d'outils d'entrée</t>
  </si>
  <si>
    <t>Canaux à plusieurs étages</t>
  </si>
  <si>
    <t>Les adversaires peuvent créer plusieurs étapes de commandement et de contrôle qui sont utilisées dans différentes conditions ou pour certaines fonctions. L'utilisation de plusieurs étapes peut brouiller le canal de commandement et de contrôle et rendre la détection plus difficile.</t>
  </si>
  <si>
    <t>Protocole de couche non applicative</t>
  </si>
  <si>
    <t>Les adversaires peuvent utiliser un protocole de couche non applicative OSI pour la communication entre l'hôte et le serveur C2 ou entre les hôtes infectés au sein d'un réseau. La liste des protocoles possibles est longue. Parmi les exemples spécifiques, on peut citer l'utilisation de protocoles de couche réseau, tels que le protocole ICMP (Internet Control Message Protocol), de protocoles de couche transport, tels que le protocole UDP (User Datagram Protocol), de protocoles de couche session, tels que Socket Secure (SOCKS), ainsi que de protocoles redirigés/tunnels, tels que Serial over LAN (SOL).</t>
  </si>
  <si>
    <t>Port non standard</t>
  </si>
  <si>
    <t>Les adversaires peuvent communiquer en utilisant un protocole et une association de ports qui ne sont généralement pas associés. Par exemple, HTTPS sur le port 8088 ou le port 587 au lieu du port traditionnel 443. Les adversaires peuvent modifier le port standard utilisé par un protocole pour contourner le filtrage ou brouiller l'analyse des données réseau.</t>
  </si>
  <si>
    <t>Tunnellisation de protocole</t>
  </si>
  <si>
    <t>Les adversaires peuvent canaliser les communications réseau vers et depuis un système victime au sein d'un protocole distinct pour éviter la détection/le filtrage réseau et/ou permettre l'accès à des systèmes autrement inaccessibles. Le tunneling consiste à encapsuler explicitement un protocole dans un autre. Ce comportement peut masquer le trafic malveillant en se fondant dans le trafic existant et/ou fournir une couche externe de chiffrement (similaire à un VPN). Le tunneling peut également permettre le routage de paquets réseau qui n'atteindraient pas leur destination prévue, comme le trafic SMB, RDP ou tout autre trafic qui serait filtré par les appareils réseau ou non acheminé sur Internet.</t>
  </si>
  <si>
    <t>Procuration</t>
  </si>
  <si>
    <t>Les adversaires peuvent utiliser un proxy de connexion pour diriger le trafic réseau entre les systèmes ou servir d'intermédiaire pour les communications réseau vers un serveur de commande et de contrôle afin d'éviter les connexions directes à leur infrastructure. Il existe de nombreux outils permettant la redirection du trafic via des proxys ou la redirection de port, notamment HTRAN , ZXProxy et ZXPortMap. Les adversaires utilisent ces types de proxys pour gérer les communications de commande et de contrôle, réduire le nombre de connexions réseau sortantes simultanées, assurer la résilience en cas de perte de connexion ou pour contourner les chemins de communication fiables existants entre les victimes afin d'éviter toute suspicion. Les adversaires peuvent enchaîner plusieurs proxys pour mieux dissimuler la source du trafic malveillant.</t>
  </si>
  <si>
    <t>Proxy interne</t>
  </si>
  <si>
    <t>Les adversaires peuvent utiliser un proxy interne pour diriger le trafic de commande et de contrôle entre deux ou plusieurs systèmes dans un environnement compromis. Il existe de nombreux outils permettant la redirection du trafic via des proxys ou la redirection de port, notamment HTRAN , ZXProxy et ZXPortMap. Les adversaires utilisent des proxys internes pour gérer les communications de commande et de contrôle au sein d'un environnement compromis, pour réduire le nombre de connexions réseau sortantes simultanées, pour assurer la résilience en cas de perte de connexion ou pour emprunter les chemins de communication approuvés existants entre les systèmes infectés afin d'éviter toute suspicion. Les connexions proxy internes peuvent utiliser des protocoles réseau peer-to-peer (p2p) courants, tels que SMB, pour mieux s'intégrer à l'environnement.</t>
  </si>
  <si>
    <t>Proxy externe</t>
  </si>
  <si>
    <t>Les adversaires peuvent utiliser un proxy externe pour servir d'intermédiaire pour les communications réseau avec un serveur de commande et de contrôle afin d'éviter les connexions directes à leur infrastructure. Il existe de nombreux outils permettant la redirection du trafic via des proxys ou la redirection de port, notamment HTRAN , ZXProxy et ZXPortMap. Les adversaires utilisent ces types de proxys pour gérer les communications de commande et de contrôle, pour assurer la résilience en cas de perte de connexion ou pour contourner les chemins de communication fiables existants afin d'éviter toute suspicion.</t>
  </si>
  <si>
    <t>Proxy multi-sauts</t>
  </si>
  <si>
    <t>Les adversaires peuvent enchaîner plusieurs proxys pour masquer la source du trafic malveillant. En règle générale, un défenseur sera en mesure d'identifier le dernier trafic proxy traversé avant qu'il n'entre dans son réseau ; le défenseur peut ou non être en mesure d'identifier les proxys précédents avant le proxy du dernier saut. Cette technique rend l'identification de la source d'origine du trafic malveillant encore plus difficile en obligeant le défenseur à suivre le trafic malveillant à travers plusieurs proxys pour identifier sa source.</t>
  </si>
  <si>
    <t>Front de domaine</t>
  </si>
  <si>
    <t>Les adversaires peuvent tirer parti des schémas de routage des réseaux de diffusion de contenu (CDN) et d'autres services qui hébergent plusieurs domaines pour masquer la destination prévue du trafic HTTPS ou du trafic acheminé via HTTPS. Le fronting de domaine implique l'utilisation de noms de domaine différents dans le champ SNI de l'en-tête TLS et le champ Host de l'en-tête HTTP. Si les deux domaines sont servis à partir du même CDN, le CDN peut alors acheminer vers l'adresse spécifiée dans l'en-tête HTTP après avoir déballé l'en-tête TLS. Une variante de la technique, le fronting « sans domaine », utilise un champ SNI laissé vide ; cela peut permettre au fronting de fonctionner même lorsque le CDN tente de valider que les champs SNI et HTTP Host correspondent (si les champs SNI vides sont ignorés).</t>
  </si>
  <si>
    <t>Logiciel d'accès à distance</t>
  </si>
  <si>
    <t>Service Web</t>
  </si>
  <si>
    <t>Les adversaires peuvent utiliser un service Web externe légitime existant comme moyen de relayer des données vers/depuis un système compromis. Les sites Web populaires, les services cloud et les réseaux sociaux agissant comme mécanisme de C2 peuvent offrir une couverture importante en raison de la probabilité que les hôtes d'un réseau communiquent déjà avec eux avant une compromission. L'utilisation de services courants, tels que ceux proposés par Google, Microsoft ou Twitter, permet aux adversaires de se cacher plus facilement dans le bruit attendu. Les fournisseurs de services Web utilisent généralement le cryptage SSL/TLS, offrant aux adversaires un niveau de protection supplémentaire.</t>
  </si>
  <si>
    <t>Résolveur de chutes mortes</t>
  </si>
  <si>
    <t>Les adversaires peuvent utiliser un service Web externe existant et légitime pour héberger des informations qui pointent vers une infrastructure de commande et de contrôle (C2) supplémentaire. Les adversaires peuvent publier du contenu, connu sous le nom de résolveur de domaine mort, sur des services Web avec des domaines ou des adresses IP intégrés (et souvent obscurcis/codés). Une fois infectées, les victimes contactent et sont redirigées par ces résolveurs.</t>
  </si>
  <si>
    <t>Communication bidirectionnelle</t>
  </si>
  <si>
    <t>Les adversaires peuvent utiliser un service Web externe légitime existant comme moyen d'envoyer des commandes et de recevoir des résultats d'un système compromis via le canal de service Web. Les systèmes compromis peuvent exploiter des sites Web et des réseaux sociaux populaires pour héberger des instructions de commande et de contrôle (C2). Ces systèmes infectés peuvent ensuite renvoyer le résultat de ces commandes via ce canal de service Web. Le trafic de retour peut se produire de diverses manières, selon le service Web utilisé. Par exemple, le trafic de retour peut prendre la forme d'un commentaire publié par le système compromis sur un forum, d'une demande d'extraction vers un projet de développement, de la mise à jour d'un document hébergé sur un service Web ou de l'envoi d'un tweet.</t>
  </si>
  <si>
    <t>Communication à sens unique</t>
  </si>
  <si>
    <t>Les adversaires peuvent utiliser un service Web externe légitime existant comme moyen d'envoyer des commandes à un système compromis sans recevoir de sortie de retour via le canal de service Web. Les systèmes compromis peuvent exploiter des sites Web et des réseaux sociaux populaires pour héberger des instructions de commande et de contrôle (C2). Ces systèmes infectés peuvent choisir de renvoyer la sortie de ces commandes via un canal C2 différent, y compris vers un autre service Web distinct. Alternativement, les systèmes compromis peuvent ne renvoyer aucune sortie du tout dans les cas où les adversaires veulent envoyer des instructions aux systèmes et ne veulent pas de réponse.</t>
  </si>
  <si>
    <t>Exfiltration automatisée</t>
  </si>
  <si>
    <t>Les adversaires peuvent exfiltrer des données, telles que des documents sensibles, grâce à l'utilisation d'un traitement automatisé après avoir été collectées lors de la collecte.</t>
  </si>
  <si>
    <t>Duplication du trafic</t>
  </si>
  <si>
    <t>Les adversaires peuvent exploiter la mise en miroir du trafic afin d'automatiser l'exfiltration de données sur une infrastructure compromise. La mise en miroir du trafic est une fonctionnalité native de certains appareils, souvent utilisée pour l'analyse du réseau. Par exemple, les appareils peuvent être configurés pour transférer le trafic réseau vers une ou plusieurs destinations pour analyse par un analyseur de réseau ou un autre appareil de surveillance.</t>
  </si>
  <si>
    <t>Limites de taille de transfert de données</t>
  </si>
  <si>
    <t>Un adversaire peut exfiltrer des données en blocs de taille fixe au lieu de fichiers entiers ou limiter la taille des paquets en dessous de certains seuils. Cette approche peut être utilisée pour éviter de déclencher des alertes de seuil de transfert de données réseau.</t>
  </si>
  <si>
    <t>Exfiltration via un protocole alternatif</t>
  </si>
  <si>
    <t>Les adversaires peuvent voler des données en les exfiltrant via un protocole différent de celui du canal de commande et de contrôle existant. Les données peuvent également être envoyées vers un autre emplacement réseau à partir du serveur de commande et de contrôle principal.</t>
  </si>
  <si>
    <t>Exfiltration via un protocole non-C2 crypté symétrique</t>
  </si>
  <si>
    <t>Les adversaires peuvent voler des données en les exfiltrant via un protocole réseau chiffré symétriquement autre que celui du canal de commande et de contrôle existant. Les données peuvent également être envoyées vers un autre emplacement réseau à partir du serveur de commande et de contrôle principal.</t>
  </si>
  <si>
    <t>Exfiltration via un protocole non-C2 crypté asymétrique</t>
  </si>
  <si>
    <t>Les adversaires peuvent voler des données en les exfiltrant via un protocole réseau chiffré de manière asymétrique autre que celui du canal de commande et de contrôle existant. Les données peuvent également être envoyées vers un autre emplacement réseau à partir du serveur de commande et de contrôle principal.</t>
  </si>
  <si>
    <t>Exfiltration via un protocole non crypté non-C2</t>
  </si>
  <si>
    <t>Les adversaires peuvent voler des données en les exfiltrant via un protocole réseau non chiffré autre que celui du canal de commande et de contrôle existant. Les données peuvent également être envoyées vers un autre emplacement réseau à partir du serveur de commande et de contrôle principal.</t>
  </si>
  <si>
    <t>Exfiltration via le canal C2</t>
  </si>
  <si>
    <t>Les adversaires peuvent voler des données en les exfiltrant via un canal de commande et de contrôle existant. Les données volées sont codées dans le canal de communication normal en utilisant le même protocole que les communications de commande et de contrôle.</t>
  </si>
  <si>
    <t>Exfiltration via un autre support réseau</t>
  </si>
  <si>
    <t>Les adversaires peuvent tenter d'exfiltrer des données via un support réseau différent de celui du canal de commande et de contrôle. Si le réseau de commande et de contrôle est une connexion Internet filaire, l'exfiltration peut se produire, par exemple, via une connexion Wi-Fi, un modem, une connexion de données cellulaires, Bluetooth ou un autre canal de radiofréquence (RF).</t>
  </si>
  <si>
    <t>Exfiltration via Bluetooth</t>
  </si>
  <si>
    <t>Les adversaires peuvent tenter d'exfiltrer des données via Bluetooth plutôt que via le canal de commande et de contrôle. Si le réseau de commande et de contrôle est une connexion Internet filaire, un adversaire peut choisir d'exfiltrer des données via un canal de communication Bluetooth.</t>
  </si>
  <si>
    <t>Exfiltration sur support physique</t>
  </si>
  <si>
    <t>Les pirates peuvent tenter d'exfiltrer des données via un support physique, tel qu'un lecteur amovible. Dans certaines circonstances, comme une compromission d'un réseau isolé, l'exfiltration peut se produire via un support physique ou un périphérique introduit par un utilisateur. Ce support peut être un disque dur externe, une clé USB, un téléphone portable, un lecteur MP3 ou tout autre périphérique de stockage et de traitement amovible. Le support physique ou le périphérique peut être utilisé comme point d'exfiltration final ou pour passer d'un système à un autre qui serait déconnecté.</t>
  </si>
  <si>
    <t>Exfiltration via USB</t>
  </si>
  <si>
    <t>Les adversaires peuvent tenter d'exfiltrer des données via un périphérique physique connecté par USB. Dans certaines circonstances, comme une compromission d'un réseau isolé, l'exfiltration peut se produire via un périphérique USB introduit par un utilisateur. Le périphérique USB peut être utilisé comme point d'exfiltration final ou pour passer d'un système à un autre, par ailleurs déconnecté.</t>
  </si>
  <si>
    <t>Exfiltration via un service Web</t>
  </si>
  <si>
    <t>Les adversaires peuvent utiliser un service Web externe légitime existant pour exfiltrer des données plutôt que leur canal de commande et de contrôle principal. Les services Web populaires agissant comme mécanisme d'exfiltration peuvent offrir une couverture importante en raison de la probabilité que les hôtes d'un réseau communiquent déjà avec eux avant la compromission. Des règles de pare-feu peuvent également déjà exister pour autoriser le trafic vers ces services.</t>
  </si>
  <si>
    <t>Exfiltration vers le référentiel de code</t>
  </si>
  <si>
    <t>Les adversaires peuvent exfiltrer des données vers un référentiel de code plutôt que via leur canal de commande et de contrôle principal. Les référentiels de code sont souvent accessibles via une API (ex : https://api.github.com). L'accès à ces API se fait souvent via HTTPS, ce qui confère à l'adversaire un niveau de protection supplémentaire.</t>
  </si>
  <si>
    <t>Exfiltration vers le stockage cloud</t>
  </si>
  <si>
    <t>Les adversaires peuvent exfiltrer des données vers un service de stockage cloud plutôt que via leur canal de commande et de contrôle principal. Les services de stockage cloud permettent le stockage, la modification et la récupération de données à partir d'un serveur de stockage cloud distant via Internet.</t>
  </si>
  <si>
    <t>Exfiltration vers des sites de stockage de texte</t>
  </si>
  <si>
    <t>Exfiltration via Webhook</t>
  </si>
  <si>
    <t>Transfert programmé</t>
  </si>
  <si>
    <t>Les pirates peuvent programmer l'exfiltration de données de manière à ce qu'elle soit effectuée uniquement à certaines heures de la journée ou à certains intervalles. Cela peut être fait pour combiner les modèles de trafic avec une activité ou une disponibilité normale.</t>
  </si>
  <si>
    <t>Transférer des données vers un compte cloud</t>
  </si>
  <si>
    <t>Les adversaires peuvent exfiltrer des données en les transférant, notamment via le partage/la synchronisation et la création de sauvegardes d’environnements cloud, vers un autre compte cloud qu’ils contrôlent sur le même service.</t>
  </si>
  <si>
    <t>Suppression de l'accès au compte</t>
  </si>
  <si>
    <t>Les adversaires peuvent interrompre la disponibilité des ressources système et réseau en empêchant l'accès aux comptes utilisés par les utilisateurs légitimes. Les comptes peuvent être supprimés, verrouillés ou manipulés (par exemple, en modifiant les informations d'identification) pour supprimer l'accès aux comptes. Les adversaires peuvent également se déconnecter ultérieurement et/ou effectuer un arrêt/redémarrage du système pour mettre en place des modifications malveillantes.</t>
  </si>
  <si>
    <t>Destruction des données</t>
  </si>
  <si>
    <t>Suppression déclenchée par le cycle de vie</t>
  </si>
  <si>
    <t>Les adversaires peuvent modifier les politiques de cycle de vie d’un compartiment de stockage cloud pour détruire tous les objets qui y sont stockés.</t>
  </si>
  <si>
    <t>Données cryptées pour un impact</t>
  </si>
  <si>
    <t>Les pirates informatiques peuvent chiffrer les données sur les systèmes ciblés ou sur un grand nombre de systèmes d'un réseau afin d'interrompre l'accès aux ressources système et réseau. Ils peuvent tenter de rendre les données stockées inaccessibles en chiffrant les fichiers ou les données sur les lecteurs locaux et distants et en refusant l'accès à une clé de déchiffrement. Cela peut être fait pour obtenir une compensation financière de la victime en échange du déchiffrement ou d'une clé de déchiffrement (ransomware) ou pour rendre les données définitivement inaccessibles dans les cas où la clé n'est pas enregistrée ou transmise.</t>
  </si>
  <si>
    <t>Manipulation des données</t>
  </si>
  <si>
    <t>Les adversaires peuvent insérer, supprimer ou manipuler des données afin d'influencer des résultats externes ou de masquer une activité, menaçant ainsi l'intégrité des données. En manipulant les données, les adversaires peuvent tenter d'influencer un processus métier, la compréhension organisationnelle ou la prise de décision.</t>
  </si>
  <si>
    <t>Manipulation des données stockées</t>
  </si>
  <si>
    <t>Les adversaires peuvent insérer, supprimer ou manipuler des données au repos afin d'influencer des résultats externes ou de masquer une activité, menaçant ainsi l'intégrité des données. En manipulant les données stockées, les adversaires peuvent tenter d'influencer un processus métier, la compréhension organisationnelle et la prise de décision.</t>
  </si>
  <si>
    <t>Manipulation des données transmises</t>
  </si>
  <si>
    <t>Les adversaires peuvent modifier les données en cours de transfert vers le stockage ou d'autres systèmes afin de manipuler des résultats externes ou de masquer une activité, menaçant ainsi l'intégrité des données. En manipulant les données transmises, les adversaires peuvent tenter d'influencer un processus métier, la compréhension organisationnelle et la prise de décision.</t>
  </si>
  <si>
    <t>Manipulation des données d'exécution</t>
  </si>
  <si>
    <t>Les adversaires peuvent modifier les systèmes afin de manipuler les données au fur et à mesure qu'elles sont consultées et affichées pour un utilisateur final, menaçant ainsi l'intégrité des données. En manipulant les données d'exécution, les adversaires peuvent tenter d'influencer un processus métier, la compréhension organisationnelle et la prise de décision.</t>
  </si>
  <si>
    <t>Dégradation</t>
  </si>
  <si>
    <t>Dégradation interne</t>
  </si>
  <si>
    <t>Un adversaire peut défigurer des systèmes internes à une organisation dans le but d'intimider ou de tromper les utilisateurs, discréditant ainsi l'intégrité des systèmes. Cela peut prendre la forme de modifications apportées aux sites Web internes ou directement aux systèmes des utilisateurs avec le remplacement du fond d'écran du bureau. Des images dérangeantes ou offensantes peuvent être utilisées dans le cadre d'une défiguration interne afin de provoquer un malaise chez l'utilisateur ou de faire pression pour qu'il se conforme aux messages qui l'accompagnent. Étant donné que la défiguration interne des systèmes expose la présence d'un adversaire, elle a souvent lieu après que d'autres objectifs d'intrusion ont été atteints.</t>
  </si>
  <si>
    <t>Dégradation externe</t>
  </si>
  <si>
    <t>Effacement du disque</t>
  </si>
  <si>
    <t>Les adversaires peuvent effacer ou corrompre les données brutes du disque sur des systèmes spécifiques ou en grande quantité sur un réseau afin d'interrompre la disponibilité des ressources système et réseau. Avec un accès en écriture direct à un disque, les adversaires peuvent tenter d'écraser des parties des données du disque. Les adversaires peuvent choisir d'effacer des parties arbitraires des données du disque et/ou d'effacer des structures de disque comme le Master Boot Record (MBR). Un effacement complet de tous les secteurs du disque peut être tenté.</t>
  </si>
  <si>
    <t>Effacement du contenu du disque</t>
  </si>
  <si>
    <t>Les adversaires peuvent effacer le contenu des périphériques de stockage sur des systèmes spécifiques ou en grand nombre sur un réseau pour interrompre la disponibilité des ressources système et réseau.</t>
  </si>
  <si>
    <t>Effacement de la structure du disque</t>
  </si>
  <si>
    <t>Les adversaires peuvent corrompre ou effacer les structures de données du disque dur nécessaires au démarrage d'un système, en ciblant des systèmes critiques spécifiques ou en grand nombre dans un réseau pour interrompre la disponibilité des ressources système et réseau.</t>
  </si>
  <si>
    <t>Déni de service du point de terminaison</t>
  </si>
  <si>
    <t>Les adversaires peuvent effectuer des attaques par déni de service (DoS) sur les points de terminaison pour dégrader ou bloquer la disponibilité des services pour les utilisateurs. Les attaques par déni de service sur les points de terminaison peuvent être exécutées en épuisant les ressources système sur lesquelles ces services sont hébergés ou en exploitant le système pour provoquer une panne persistante. Les exemples de services incluent les sites Web, les services de messagerie électronique, les DNS et les applications Web. Des adversaires ont été observés en train de mener des attaques par déni de service à des fins politiques et pour soutenir d'autres activités malveillantes, notamment la diversion, l'hacktivisme et l'extorsion.</t>
  </si>
  <si>
    <t>Épuisement du système d'exploitation Inondation</t>
  </si>
  <si>
    <t>Les adversaires peuvent lancer une attaque par déni de service (DoS) ciblant le système d'exploitation (OS) d'un terminal. Le système d'exploitation d'un système est chargé de gérer les ressources limitées et d'empêcher que l'ensemble du système ne soit submergé par des demandes excessives sur ses capacités. Ces attaques n'ont pas besoin d'épuiser les ressources réelles d'un système ; elles peuvent simplement épuiser les limites et les ressources disponibles qu'un système d'exploitation s'impose.</t>
  </si>
  <si>
    <t>Inondation due à l'épuisement des services</t>
  </si>
  <si>
    <t>Les adversaires peuvent cibler les différents services réseau fournis par les systèmes pour mener un déni de service (DoS). Les adversaires ciblent souvent la disponibilité des services DNS et Web, mais d'autres ont également été ciblés. Les logiciels de serveur Web peuvent être attaqués par divers moyens, dont certains s'appliquent de manière générale tandis que d'autres sont spécifiques au logiciel utilisé pour fournir le service.</t>
  </si>
  <si>
    <t>Épuisement des demandes d'inondation</t>
  </si>
  <si>
    <t>Les adversaires peuvent cibler les fonctionnalités gourmandes en ressources des applications pour provoquer un déni de service (DoS), privant ainsi ces applications de disponibilité. Par exemple, certaines fonctionnalités des applications Web peuvent être très gourmandes en ressources. Des demandes répétées adressées à ces fonctionnalités peuvent épuiser les ressources du système et refuser l'accès à l'application ou au serveur lui-même.</t>
  </si>
  <si>
    <t>Exploitation d'application ou de système</t>
  </si>
  <si>
    <t>Les pirates informatiques peuvent exploiter des vulnérabilités logicielles susceptibles de provoquer le blocage d'une application ou d'un système et de priver les utilisateurs de la disponibilité de l'accès à ces derniers. Certains systèmes peuvent redémarrer automatiquement des applications et des services critiques en cas de panne, mais ces vulnérabilités peuvent être réexploitées pour provoquer un déni de service (DoS) persistant.</t>
  </si>
  <si>
    <t>Vol financier</t>
  </si>
  <si>
    <t>Les adversaires peuvent voler des ressources financières à leurs cibles par le biais de l'extorsion, de l'ingénierie sociale, du vol technique ou d'autres méthodes visant à leur propre gain financier au détriment de la disponibilité de ces ressources pour les victimes. Le vol financier est l'objectif ultime de plusieurs types de campagnes populaires, notamment l'extorsion par ransomware, la compromission et la fraude des e-mails professionnels (BEC), le « dépeçage de porcs », le piratage bancaire et l'exploitation des réseaux de cryptomonnaies.</t>
  </si>
  <si>
    <t>Corruption du micrologiciel</t>
  </si>
  <si>
    <t>Les pirates informatiques peuvent écraser ou corrompre le contenu de la mémoire flash du BIOS système ou d'autres micrologiciels des périphériques connectés à un système afin de les rendre inutilisables ou incapables de démarrer, empêchant ainsi l'utilisation des périphériques et/ou du système. Le micrologiciel est un logiciel chargé et exécuté à partir de la mémoire non volatile des périphériques matériels afin d'initialiser et de gérer les fonctionnalités des périphériques. Ces périphériques peuvent inclure la carte mère, le disque dur ou les cartes vidéo.</t>
  </si>
  <si>
    <t>Récupération du système d'inhibition</t>
  </si>
  <si>
    <t>Les pirates peuvent supprimer ou retirer les données intégrées et désactiver les services conçus pour aider à la récupération d'un système corrompu afin d'empêcher la récupération. Cela peut refuser l'accès aux sauvegardes et aux options de récupération disponibles.</t>
  </si>
  <si>
    <t>Déni de service du réseau</t>
  </si>
  <si>
    <t>Les adversaires peuvent effectuer des attaques par déni de service (DoS) sur le réseau pour dégrader ou bloquer la disponibilité des ressources ciblées pour les utilisateurs. Le déni de service sur le réseau peut être effectué en épuisant la bande passante réseau sur laquelle les services s'appuient. Les ressources incluent des sites Web spécifiques, des services de messagerie, des DNS et des applications Web. Des adversaires ont été observés menant des attaques par déni de service sur le réseau à des fins politiques et pour soutenir d'autres activités malveillantes, notamment la diversion, l'hacktivisme et l'extorsion.</t>
  </si>
  <si>
    <t>Inondation directe du réseau</t>
  </si>
  <si>
    <t>Les adversaires peuvent tenter de provoquer un déni de service (DoS) en envoyant directement un volume important de trafic réseau à une cible. Cette attaque DoS peut également réduire la disponibilité et la fonctionnalité du ou des systèmes et du réseau ciblés. On parle d'inondation directe du réseau lorsqu'un ou plusieurs systèmes sont utilisés pour envoyer un volume important de paquets réseau vers le réseau du service ciblé. Presque n'importe quel protocole réseau peut être utilisé pour l'inondation. Les protocoles sans état tels que UDP ou ICMP sont couramment utilisés, mais les protocoles avec état tels que TCP peuvent également être utilisés.</t>
  </si>
  <si>
    <t>Amplification de la réflexion</t>
  </si>
  <si>
    <t>Les adversaires peuvent tenter de provoquer un déni de service (DoS) en réfléchissant un volume élevé de trafic réseau vers une cible. Ce type de déni de service réseau tire parti d'un serveur intermédiaire tiers qui héberge et répond à une adresse IP source usurpée donnée. Ce serveur tiers est communément appelé réflecteur. Un adversaire accomplit une attaque par réflexion en envoyant des paquets aux réflecteurs avec l'adresse usurpée de la victime. Comme pour les attaques par saturation directe du réseau, plusieurs systèmes peuvent être utilisés pour mener l'attaque, ou un botnet peut être utilisé. De même, un ou plusieurs réflecteurs peuvent être utilisés pour concentrer le trafic sur la cible. Cette attaque par déni de service réseau peut également réduire la disponibilité et la fonctionnalité du ou des systèmes et du réseau ciblés.</t>
  </si>
  <si>
    <t>Détournement de ressources</t>
  </si>
  <si>
    <t>Les adversaires peuvent exploiter les ressources des systèmes cooptés pour réaliser des tâches gourmandes en ressources, ce qui peut avoir un impact sur la disponibilité du système et/ou du service hébergé.</t>
  </si>
  <si>
    <t>Détournement de calcul</t>
  </si>
  <si>
    <t>Les adversaires peuvent exploiter les ressources de calcul des systèmes cooptés pour effectuer des tâches gourmandes en ressources, ce qui peut avoir un impact sur la disponibilité du système et/ou du service hébergé.</t>
  </si>
  <si>
    <t>Détournement de bande passante</t>
  </si>
  <si>
    <t>Les adversaires peuvent exploiter les ressources de bande passante réseau des systèmes cooptés pour effectuer des tâches gourmandes en ressources, ce qui peut avoir un impact sur la disponibilité du système et/ou du service hébergé.</t>
  </si>
  <si>
    <t>Pompage SMS</t>
  </si>
  <si>
    <t>Les adversaires peuvent exploiter les services de messagerie pour envoyer des SMS, ce qui peut avoir un impact sur la disponibilité du système et/ou du service hébergé. L'envoi de SMS est un type de fraude aux télécommunications dans lequel un acteur malveillant obtient d'abord un ensemble de numéros de téléphone auprès d'un fournisseur de télécommunications, puis exploite l'infrastructure de messagerie d'une victime pour envoyer de grandes quantités de messages SMS aux numéros de cet ensemble. En générant du trafic SMS vers son ensemble de numéros de téléphone, un acteur malveillant peut percevoir des paiements de la part du fournisseur de télécommunications.</t>
  </si>
  <si>
    <t>Détournement de services cloud</t>
  </si>
  <si>
    <t>Les adversaires peuvent exploiter des applications SaaS (Software-as-a-Service) compromises pour effectuer des tâches gourmandes en ressources, ce qui peut avoir un impact sur la disponibilité des services hébergés.</t>
  </si>
  <si>
    <t>Arrêt de service</t>
  </si>
  <si>
    <t>Les adversaires peuvent arrêter ou désactiver des services sur un système pour les rendre indisponibles pour les utilisateurs légitimes. L'arrêt de services ou de processus critiques peut inhiber ou arrêter la réponse à un incident ou contribuer à l'objectif général de l'adversaire, qui est de causer des dommages à l'environnement.</t>
  </si>
  <si>
    <t>Arrêt/redémarrage du système</t>
  </si>
  <si>
    <t>Les adversaires peuvent arrêter/redémarrer les systèmes pour interrompre l'accès à ces systèmes ou contribuer à leur destruction. Les systèmes d'exploitation peuvent contenir des commandes permettant de lancer l'arrêt/le redémarrage d'une machine ou d'un périphérique réseau. Dans certains cas, ces commandes peuvent également être utilisées pour lancer l'arrêt/le redémarrage d'un ordinateur distant ou d'un périphérique réseau via l'interface de ligne de commande du périphérique réseau (par exemple reload).</t>
  </si>
  <si>
    <t>L'adversaire essaie de pénétrer dans votre réseau.
L'accès initial consiste en des techniques qui utilisent divers vecteurs d'entrée pour prendre pied dans un réseau. Les techniques utilisées pour prendre pied comprennent le spearphishing ciblé et l'exploitation des faiblesses des serveurs Web accessibles au public. Les points d'entrée obtenus grâce à l'accès initial peuvent permettre un accès continu, comme des comptes valides et l'utilisation de services distants externes, ou peuvent être d'une utilisation limitée en raison de la modification des mots de passe.</t>
  </si>
  <si>
    <t>L’adversaire tente d’établir des ressources qu’il peut utiliser pour soutenir ses opérations.
Le développement de ressources consiste en des techniques qui impliquent que les adversaires créent, achètent ou compromettent/volent des ressources qui peuvent être utilisées pour soutenir le ciblage. Ces ressources comprennent l'infrastructure, les comptes ou les capacités. Ces ressources peuvent être exploitées par l'adversaire pour aider dans d'autres phases du cycle de vie de l'adversaire, comme l'utilisation de domaines achetés pour soutenir le commandement et le contrôle, des comptes de messagerie pour le phishing dans le cadre de l'accès initial ou le vol de certificats de signature de code pour aider à l'évasion de défense.</t>
  </si>
  <si>
    <t>L'adversaire tente d'exécuter du code malveillant.
L'exécution consiste en des techniques qui entraînent l'exécution de code contrôlé par un adversaire sur un système local ou distant. Les techniques qui exécutent du code malveillant sont souvent associées à des techniques de toutes les autres tactiques pour atteindre des objectifs plus vastes, comme l'exploration d'un réseau ou le vol de données. Par exemple, un adversaire peut utiliser un outil d'accès à distance pour exécuter un script PowerShell qui effectue la détection de systèmes à distance.</t>
  </si>
  <si>
    <t>L’adversaire tente de maintenir son emprise.
La persistance consiste en des techniques que les adversaires utilisent pour conserver l'accès aux systèmes malgré les redémarrages, les modifications des identifiants et d'autres interruptions qui pourraient couper leur accès. Les techniques utilisées pour la persistance incluent tout accès, action ou modification de configuration qui leur permet de conserver leur emprise sur les systèmes, comme le remplacement ou le détournement de code légitime ou l'ajout de code de démarrage.</t>
  </si>
  <si>
    <t>L’adversaire tente d’obtenir des autorisations de niveau supérieur.
L'escalade des privilèges consiste en des techniques que les adversaires utilisent pour obtenir des autorisations de niveau supérieur sur un système ou un réseau. Les adversaires peuvent souvent pénétrer dans un réseau et l'explorer avec un accès non privilégié, mais ont besoin d'autorisations élevées pour atteindre leurs objectifs. Les approches courantes consistent à tirer parti des faiblesses, des erreurs de configuration et des vulnérabilités du système. Voici quelques exemples d'accès élevés :
SYSTÈME/niveau racine
administrateur local
compte utilisateur avec accès de type administrateur
comptes d'utilisateurs avec accès à un système spécifique ou exécutant une fonction spécifique
Ces techniques se chevauchent souvent avec les techniques de persistance, car les fonctionnalités du système d’exploitation qui permettent à un adversaire de persister peuvent s’exécuter dans un contexte élevé.</t>
  </si>
  <si>
    <t>L’adversaire tente d’éviter d’être détecté.
L'évasion de défense consiste en des techniques que les adversaires utilisent pour éviter d'être détectés tout au long de leur compromission. Les techniques utilisées pour l'évasion de défense incluent la désinstallation/désactivation des logiciels de sécurité ou le masquage/chiffrement des données et des scripts. Les adversaires exploitent et abusent également des processus de confiance pour cacher et masquer leurs programmes malveillants. D'autres techniques de tactiques sont répertoriées ici lorsque ces techniques incluent l'avantage supplémentaire de subvertir les défenses.</t>
  </si>
  <si>
    <t>L'adversaire tente de voler les noms de compte et les mots de passe.
L'accès aux informations d'identification consiste en des techniques de vol d'informations d'identification telles que des noms de compte et des mots de passe. Les techniques utilisées pour obtenir des informations d'identification incluent l'enregistrement de frappe ou le vidage d'informations d'identification. L'utilisation d'informations d'identification légitimes peut donner aux adversaires l'accès aux systèmes, les rendre plus difficiles à détecter et leur donner la possibilité de créer davantage de comptes pour atteindre leurs objectifs.</t>
  </si>
  <si>
    <t>L'adversaire essaie de comprendre votre environnement.
La découverte consiste en des techniques qu'un adversaire peut utiliser pour acquérir des connaissances sur le système et le réseau interne. Ces techniques aident les adversaires à observer l'environnement et à s'orienter avant de décider comment agir. Elles permettent également aux adversaires d'explorer ce qu'ils peuvent contrôler et ce qui se trouve autour de leur point d'entrée afin de découvrir comment cela pourrait profiter à leur objectif actuel. Les outils natifs du système d'exploitation sont souvent utilisés pour cet objectif de collecte d'informations après compromission.</t>
  </si>
  <si>
    <t>L'adversaire essaie de se déplacer dans votre environnement.
Le mouvement latéral consiste en des techniques que les adversaires utilisent pour pénétrer dans des systèmes distants sur un réseau et les contrôler. Pour atteindre leur objectif principal, ils doivent souvent explorer le réseau pour trouver leur cible et y accéder ensuite. Pour atteindre leur objectif, ils doivent souvent passer par plusieurs systèmes et comptes. Les adversaires peuvent installer leurs propres outils d'accès à distance pour accomplir le mouvement latéral ou utiliser des informations d'identification légitimes avec des outils de réseau et de système d'exploitation natifs, qui peuvent être plus furtifs.</t>
  </si>
  <si>
    <t>L'adversaire tente de recueillir des données intéressantes pour son objectif.
La collecte consiste en des techniques que les adversaires peuvent utiliser pour recueillir des informations et en des sources d'informations pertinentes pour atteindre les objectifs de l'adversaire. Souvent, l'objectif suivant après la collecte de données est soit de voler (exfiltrer) les données, soit de les utiliser pour obtenir plus d'informations sur l'environnement cible. Les sources cibles courantes incluent divers types de lecteurs, navigateurs, audio, vidéo et e-mails. Les méthodes de collecte courantes incluent la capture d'écran et la saisie au clavier.</t>
  </si>
  <si>
    <t>L'adversaire tente de communiquer avec les systèmes compromis pour les contrôler.
Le commandement et le contrôle sont des techniques que les adversaires peuvent utiliser pour communiquer avec les systèmes sous leur contrôle au sein d'un réseau victime. Les adversaires tentent généralement d'imiter le trafic normal et attendu pour éviter d'être détectés. Il existe de nombreuses façons pour un adversaire d'établir un commandement et un contrôle avec différents niveaux de furtivité en fonction de la structure du réseau et des défenses de la victime.</t>
  </si>
  <si>
    <t>L'adversaire tente de voler des données.
L'exfiltration consiste en des techniques que les adversaires peuvent utiliser pour voler des données de votre réseau. Une fois qu'ils ont collecté des données, les adversaires les empaquetent souvent pour éviter d'être détectés lors de leur suppression. Cela peut inclure la compression et le chiffrement. Les techniques permettant d'extraire des données d'un réseau cible incluent généralement leur transfert via leur canal de commande et de contrôle ou un canal alternatif et peuvent également inclure l'imposition de limites de taille à la transmission.</t>
  </si>
  <si>
    <t>L'adversaire tente de manipuler, d'interrompre ou de détruire vos systèmes et vos données.
L'impact consiste en des techniques que les adversaires utilisent pour perturber la disponibilité ou compromettre l'intégrité en manipulant les processus commerciaux et opérationnels. Les techniques utilisées pour l'impact peuvent inclure la destruction ou la falsification de données. Dans certains cas, les processus commerciaux peuvent sembler corrects, mais peuvent avoir été modifiés pour servir les objectifs des adversaires. Ces techniques peuvent être utilisées par les adversaires pour atteindre leur objectif final ou pour couvrir une violation de la confidentialité.</t>
  </si>
  <si>
    <t>Les adversaires peuvent sonder l'infrastructure de manière itérative en utilisant des techniques de force brute et d'exploration. Bien que cette technique utilise des méthodes similaires à la force brute , son objectif est l'identification du contenu et de l'infrastructure plutôt que la découverte d'informations d'identification valides. Les listes de mots utilisées dans ces analyses peuvent contenir des noms génériques et couramment utilisés, des extensions de fichier ou des termes spécifiques à un logiciel particulier. Les adversaires peuvent également créer des listes de mots personnalisées et spécifiques à une cible à l'aide de données collectées à partir d'autres techniques de reconnaissance (par exemple : recueillir des informations sur l'organisation de la victime ou rechercher des sites Web appartenant à la victime ).</t>
  </si>
  <si>
    <t>Les adversaires peuvent envoyer des messages de spearphishing via des services tiers pour obtenir des informations sensibles qui peuvent être utilisées lors du ciblage. Le spearphishing d'informations est une tentative visant à tromper les cibles afin qu'elles divulguent des informations, souvent des identifiants ou d'autres informations exploitables. Le spearphishing d'informations implique souvent des techniques d'ingénierie sociale, telles que se faire passer pour une source ayant une raison de collecter des informations (par exemple : créer des comptes ou compromettre des comptes ) et/ou envoyer plusieurs messages apparemment urgents.</t>
  </si>
  <si>
    <t>Les adversaires peuvent envoyer des messages de spearphishing avec une pièce jointe malveillante pour obtenir des informations sensibles qui peuvent être utilisées lors du ciblage. Le spearphishing d'informations est une tentative de tromper les cibles pour qu'elles divulguent des informations, souvent des identifiants ou d'autres informations exploitables. Le spearphishing d'informations implique souvent des techniques d'ingénierie sociale, telles que se faire passer pour une source ayant une raison de collecter des informations (par exemple : créer des comptes ou compromettre des comptes ) et/ou envoyer plusieurs messages apparemment urgents.</t>
  </si>
  <si>
    <t>Les adversaires peuvent envoyer des messages de spearphishing contenant un lien malveillant pour obtenir des informations sensibles qui peuvent être utilisées lors du ciblage. Le spearphishing consiste à tromper les cibles afin qu'elles divulguent des informations, souvent des identifiants ou d'autres informations exploitables. Le spearphishing implique souvent des techniques d'ingénierie sociale, comme se faire passer pour une source ayant une raison de collecter des informations (par exemple, créer des comptes ou compromettre des comptes ) et/ou envoyer plusieurs messages apparemment urgents.</t>
  </si>
  <si>
    <t>Les adversaires peuvent acheter, louer, louer ou obtenir des serveurs physiques qui peuvent être utilisés pendant le ciblage. L'utilisation de serveurs permet à un adversaire d'organiser, de lancer et d'exécuter une opération. Au cours de l'activité post-compromission, les adversaires peuvent utiliser des serveurs pour diverses tâches, telles que des opérations de point d'eau dans le cadre d'une compromission par drive-by , l'activation d'opérations de phishing ou la facilitation du commandement et du contrôle . Au lieu de compromettre un serveur tiers ou de louer un serveur privé virtuel , les adversaires peuvent choisir de configurer et d'exécuter leurs propres serveurs pour soutenir les opérations. Les périodes d'essai gratuites des serveurs cloud peuvent également être utilisées de manière abusive.</t>
  </si>
  <si>
    <t>Les adversaires peuvent s'inscrire à des services Web qui peuvent être utilisés lors du ciblage. Il existe une variété de sites Web populaires permettant aux adversaires de s'inscrire à un service Web qui peut être utilisé de manière abusive au cours des étapes ultérieures du cycle de vie de l'adversaire, comme lors du commandement et du contrôle ( service Web ), de l'exfiltration via un service Web ou du phishing . L'utilisation de services courants, tels que ceux proposés par Google ou Twitter, permet aux adversaires de se cacher plus facilement dans le bruit attendu. En utilisant un service Web, les adversaires peuvent rendre difficile le rattachement physique des opérations à eux.</t>
  </si>
  <si>
    <t>Les adversaires peuvent compromettre des comptes de messagerie électronique qui peuvent être utilisés lors du ciblage. Les adversaires peuvent utiliser des comptes de messagerie électronique compromis pour poursuivre leurs opérations, par exemple en les exploitant pour mener des campagnes de phishing d'informations , de phishing ou de spam à grande échelle. L'utilisation d'un personnage existant avec un compte de messagerie électronique compromis peut engendrer un niveau de confiance chez une victime potentielle si elle a une relation avec le personnage compromis ou une connaissance de celui-ci. Les comptes de messagerie électronique compromis peuvent également être utilisés pour l'acquisition d'infrastructures (ex : domaines ).</t>
  </si>
  <si>
    <t>Les adversaires peuvent compromettre des comptes cloud qui peuvent être utilisés lors du ciblage. Les adversaires peuvent utiliser des comptes cloud compromis pour poursuivre leurs opérations, notamment en exploitant des services de stockage cloud tels que Dropbox, Microsoft OneDrive ou des buckets AWS S3 pour l'exfiltration vers le stockage cloud ou vers des outils de téléchargement . Les comptes cloud peuvent également être utilisés dans l'acquisition d'infrastructures, telles que des serveurs privés virtuels ou des infrastructures sans serveur . En outre, les services de messagerie basés sur le cloud tels que Twilio, SendGrid, AWS End User Messaging, AWS SNS (Simple Notification Service) ou AWS SES (Simple Email Service) peuvent être exploités pour le spam ou le phishing . La compromission de comptes cloud peut permettre aux adversaires de développer des capacités sophistiquées sans gérer leurs propres serveurs.</t>
  </si>
  <si>
    <t>Les adversaires peuvent compromettre des serveurs tiers qui peuvent être utilisés lors du ciblage. L'utilisation de serveurs permet à un adversaire d'organiser, de lancer et d'exécuter une opération. Au cours de l'activité post-compromission, les adversaires peuvent utiliser des serveurs pour diverses tâches, notamment pour le commandement et le contrôle. Au lieu d'acheter un serveur ou un serveur privé virtuel , les adversaires peuvent compromettre des serveurs tiers pour soutenir les opérations.</t>
  </si>
  <si>
    <t>Les adversaires peuvent compromettre l'accès à des services Web tiers qui peuvent être utilisés lors du ciblage. Il existe une variété de sites Web populaires permettant aux utilisateurs légitimes de s'inscrire à des services Web, tels que GitHub, Twitter, Dropbox, Google, SendGrid, etc. Les adversaires peuvent essayer de s'approprier l'accès d'un utilisateur légitime à un service Web et d'utiliser ce service Web comme infrastructure à l'appui des cyberopérations. Ces services Web peuvent être utilisés de manière abusive au cours des étapes ultérieures du cycle de vie de l'adversaire, par exemple pendant le commandement et le contrôle ( service Web ), l'exfiltration via un service Web ou le phishing . L'utilisation de services courants, tels que ceux proposés par Google ou Twitter, permet aux adversaires de se cacher plus facilement dans le bruit attendu. En utilisant un service Web, en particulier lorsque l'accès est volé à des utilisateurs légitimes, les adversaires peuvent rendre difficile le rattachement physique des opérations à ces derniers. De plus, l'exploitation de services de messagerie Web compromis peut permettre aux adversaires de tirer parti de la confiance associée aux domaines légitimes.</t>
  </si>
  <si>
    <t>Les adversaires peuvent créer des comptes de messagerie électronique qui peuvent être utilisés lors du ciblage. Les adversaires peuvent utiliser les comptes créés auprès de fournisseurs de messagerie électronique pour poursuivre leurs opérations, par exemple en les exploitant pour effectuer du phishing pour obtenir des informations ou du phishing . La création de comptes de messagerie peut également permettre aux adversaires d'abuser de services gratuits, tels que des périodes d'essai, pour acquérir des infrastructures à des fins de suivi.</t>
  </si>
  <si>
    <t>Les adversaires peuvent créer des comptes auprès de fournisseurs de cloud qui peuvent être utilisés lors du ciblage. Les adversaires peuvent utiliser des comptes cloud pour approfondir leurs opérations, notamment en exploitant des services de stockage cloud tels que Dropbox, MEGA, Microsoft OneDrive ou des buckets AWS S3 pour l'exfiltration vers le stockage cloud ou vers des outils de téléchargement . Les comptes cloud peuvent également être utilisés dans l'acquisition d'infrastructures, telles que des serveurs privés virtuels ou des infrastructures sans serveur . L'établissement de comptes cloud peut permettre aux adversaires de développer des capacités sophistiquées sans gérer leurs propres serveurs.</t>
  </si>
  <si>
    <t>Les adversaires peuvent acheter, voler ou télécharger des outils logiciels qui peuvent être utilisés lors du ciblage. Les outils peuvent être open source ou fermés, gratuits ou commerciaux. Un outil peut être utilisé à des fins malveillantes par un adversaire, mais (contrairement aux logiciels malveillants) n'est pas destiné à être utilisé à ces fins (ex : PsExec ). L'acquisition d'outils peut impliquer l'achat de licences de logiciels commerciaux, y compris pour des outils de red teaming tels que Cobalt Strike . Les logiciels commerciaux peuvent être obtenus par achat, vol de licences (ou de copies sous licence du logiciel) ou piratage de versions d'essai.</t>
  </si>
  <si>
    <t>Les adversaires peuvent télécharger, installer ou configurer d'une autre manière des capacités qui peuvent être utilisées lors du ciblage. Pour soutenir leurs opérations, un adversaire peut avoir besoin de prendre les capacités qu'il a développées ( Développer des capacités ) ou obtenues ( Obtenir des capacités ) et de les mettre en place sur une infrastructure sous son contrôle. Ces capacités peuvent être mises en place sur une infrastructure qui a été précédemment achetée/louée par l'adversaire ( Acquérir une infrastructure ) ou qui a été compromise par lui ( Compromettre une infrastructure ). Les capacités peuvent également être mises en place sur des services Web, tels que GitHub ou Pastebin, ou sur des offres de plate-forme en tant que service ( PaaS ) qui permettent aux utilisateurs de provisionner facilement des applications.</t>
  </si>
  <si>
    <t>Les adversaires peuvent télécharger des outils sur une infrastructure contrôlée par un tiers ou un adversaire pour les rendre accessibles lors du ciblage. Les outils peuvent être open source ou fermés, gratuits ou commerciaux. Les outils peuvent être utilisés à des fins malveillantes par un adversaire, mais (contrairement aux logiciels malveillants) ils ne sont pas destinés à être utilisés à ces fins (ex : PsExec ). Les adversaires peuvent télécharger des outils pour soutenir leurs opérations, par exemple en mettant un outil à la disposition d'un réseau victime pour permettre le transfert d'outils Ingress en le plaçant sur un serveur Web accessible sur Internet.</t>
  </si>
  <si>
    <t>Les adversaires peuvent préparer un environnement opérationnel pour infecter les systèmes qui visitent un site Web au cours d'une navigation normale. Les systèmes d'extrémité peuvent être compromis par la navigation sur des sites contrôlés par l'adversaire, comme dans le cas d' une compromission par inadvertance . Dans de tels cas, le navigateur Web de l'utilisateur est généralement ciblé pour l'exploitation (ne nécessitant souvent aucune interaction supplémentaire de l'utilisateur une fois arrivé sur le site), mais les adversaires peuvent également configurer des sites Web pour un comportement de non-exploitation tel que le jeton d'accès à l'application . Avant la compromission par inadvertance , les adversaires doivent organiser les ressources nécessaires pour fournir cet exploit aux utilisateurs qui naviguent sur un site contrôlé par l'adversaire. Le contenu inadvertance peut être organisé sur une infrastructure contrôlée par l'adversaire qui a été acquise ( infrastructure d'acquisition ) ou précédemment compromise ( infrastructure de compromission ).</t>
  </si>
  <si>
    <t>Les adversaires peuvent mettre en place des ressources référencées par un lien qui peuvent être utilisées lors du ciblage. Un adversaire peut compter sur un utilisateur qui clique sur un lien malveillant pour divulguer des informations (y compris des informations d'identification) ou pour obtenir une exécution, comme dans le cas d'un lien malveillant . Les liens peuvent être utilisés pour le spearphishing, par exemple en envoyant un e-mail accompagné d'un texte d'ingénierie sociale pour inciter l'utilisateur à cliquer activement ou à copier et coller une URL dans un navigateur. Avant de procéder à un phishing pour obtenir des informations (comme dans le cas d' un lien de spearphishing ) ou un phishing pour obtenir un accès initial à un système (comme dans le cas d'un lien de spearphishing ), un adversaire doit configurer les ressources pour une cible de lien pour le lien de spearphishing.</t>
  </si>
  <si>
    <t>Les adversaires peuvent accéder aux victimes et communiquer en permanence avec elles en injectant du contenu malveillant dans les systèmes via le trafic réseau en ligne. Plutôt que d'attirer les victimes vers des charges utiles malveillantes hébergées sur un site Web compromis (c'est-à-dire Drive-by Target suivi d' un Drive-by Compromise ), les adversaires peuvent d'abord accéder aux victimes via des canaux de transfert de données compromis où ils peuvent manipuler le trafic et/ou injecter leur propre contenu. Ces canaux de réseau en ligne compromis peuvent également être utilisés pour fournir des charges utiles supplémentaires (c'est-à-dire Ingress Tool Transfer ) et d'autres données à des systèmes déjà compromis.</t>
  </si>
  <si>
    <t>Les adversaires peuvent exploiter des services distants externes pour accéder initialement à un réseau et/ou y persister. Les services distants tels que les VPN, Citrix et d'autres mécanismes d'accès permettent aux utilisateurs de se connecter aux ressources internes du réseau d'entreprise à partir d'emplacements externes. Il existe souvent des passerelles de services distants qui gèrent les connexions et l'authentification des informations d'identification pour ces services. Des services tels que Windows Remote Management et VNC peuvent également être utilisés en externe.</t>
  </si>
  <si>
    <t>Les adversaires peuvent utiliser abusivement les interpréteurs de commandes et de scripts pour exécuter des commandes, des scripts ou des binaires. Ces interfaces et langages offrent des moyens d'interagir avec les systèmes informatiques et sont une fonctionnalité commune à de nombreuses plates-formes différentes. La plupart des systèmes sont dotés d'une interface de ligne de commande et de fonctionnalités de script intégrées. Par exemple, les distributions macOS et Linux incluent une version d' Unix Shell , tandis que les installations Windows incluent Windows Command Shell et PowerShell .</t>
  </si>
  <si>
    <t>Les adversaires peuvent abuser des commandes et des scripts PowerShell pour les exécuter. PowerShell est une interface de ligne de commande interactive puissante et un environnement de script inclus dans le système d'exploitation Windows. Les adversaires peuvent utiliser PowerShell pour effectuer un certain nombre d'actions, notamment la découverte d'informations et l'exécution de code. Les exemples incluent l' Start-Processapplet de commande qui peut être utilisée pour exécuter un exécutable et l' Invoke-Commandapplet de commande qui exécute une commande localement ou sur un ordinateur distant (bien que des autorisations d'administrateur soient requises pour utiliser PowerShell pour se connecter à des systèmes distants).</t>
  </si>
  <si>
    <t>Les adversaires peuvent abuser de l'interpréteur de commandes Windows pour l'exécution. L'interpréteur de commandes Windows ( cmd ) est l'invite de commande principale sur les systèmes Windows. L'invite de commande Windows peut être utilisée pour contrôler presque tous les aspects d'un système, avec différents niveaux d'autorisation requis pour différents sous-ensembles de commandes. L'invite de commande peut être invoquée à distance via des services distants tels que SSH .</t>
  </si>
  <si>
    <t>Les adversaires peuvent abuser de Visual Basic (VB) pour l'exécution. VB est un langage de programmation créé par Microsoft avec une interopérabilité avec de nombreuses technologies Windows telles que Component Object Model et l' API native via l'API Windows. Bien que étiqueté comme hérité sans évolution future prévue, VB est intégré et pris en charge dans le .NET Framework et le .NET Core multiplateforme.</t>
  </si>
  <si>
    <t>Les adversaires peuvent abuser des commandes et des scripts Python pour les exécuter. Python est un langage de script/programmation très populaire, capable d'exécuter de nombreuses fonctions. Python peut être exécuté de manière interactive à partir de la ligne de commande (via l' python.exeinterpréteur) ou via des scripts (.py) qui peuvent être écrits et distribués sur différents systèmes. Le code Python peut également être compilé en exécutables binaires.</t>
  </si>
  <si>
    <t>Les adversaires peuvent exploiter les API cloud pour exécuter des commandes malveillantes. Les API disponibles dans les environnements cloud offrent diverses fonctionnalités et constituent une méthode riche en fonctionnalités pour l'accès programmatique à presque tous les aspects d'un locataire. Ces API peuvent être utilisées via diverses méthodes telles que les interpréteurs de ligne de commande (CLI), les Cloud Shells intégrés au navigateur, les modules PowerShell comme Azure pour PowerShell ou les kits de développement logiciel (SDK) disponibles pour des langages tels que Python .</t>
  </si>
  <si>
    <t>Les adversaires peuvent abuser des commandes et des scripts Lua pour les exécuter. Lua est un langage de script et de programmation multiplateforme principalement conçu pour une utilisation intégrée dans les applications. Lua peut être exécuté sur la ligne de commande (via l'interpréteur Lua autonome), via des scripts ( .lua) ou à partir de programmes intégrés à Lua (via le struct lua_State).</t>
  </si>
  <si>
    <t>Les adversaires peuvent utiliser le modèle d'objet composant Windows (COM) pour l'exécution de code local. COM est un composant de communication interprocessus (IPC) de l'interface de programmation d'applications (API) native de Windows qui permet l'interaction entre les objets logiciels ou le code exécutable qui implémente une ou plusieurs interfaces. Grâce à COM, un objet client peut appeler des méthodes d'objets serveur, qui sont généralement des bibliothèques de liens dynamiques binaires (DLL) ou des exécutables (EXE). L'exécution COM à distance est facilitée par des services distants tels que le modèle d'objet composant distribué (DCOM).</t>
  </si>
  <si>
    <t>Les adversaires peuvent fournir du contenu malveillant à un démon de service XPC pour l'exécution de code local. macOS utilise les services XPC pour la communication interprocessus de base entre divers processus, comme entre le démon de service XPC et les outils d'assistance privilégiés d'application tiers. Les applications peuvent envoyer des messages au démon de service XPC, qui s'exécute en tant que root, en utilisant le service XPC de bas niveau C APIou le niveau élevé NSXPCConnection APIafin de gérer les tâches qui nécessitent des privilèges élevés (comme les connexions réseau). Les applications sont chargées de fournir la définition du protocole qui sert de modèle aux services XPC. Les développeurs utilisent généralement les services XPC pour assurer la stabilité des applications et la séparation des privilèges entre le client d'application et le démon.</t>
  </si>
  <si>
    <t>Les adversaires peuvent abuser de l' utilitaire at pour effectuer la planification de tâches pour l'exécution initiale ou récurrente de code malveillant. L' utilitaire at existe sous forme d'exécutable dans Windows, Linux et macOS pour planifier des tâches à une heure et une date spécifiées. Bien qu'il soit déconseillé au profit des tâches planifiées de Scheduled Task dans les environnements Windows, l'utilisation de at nécessite que le service Planificateur de tâches soit en cours d'exécution et que l'utilisateur soit connecté en tant que membre du groupe Administrateurs local. En plus d'exécuter explicitement la commande, les adversaires peuvent également planifier une tâche avec at en exploitant directement la classe WMI de Windows Management Instrumentation . at Win32_ScheduledJob</t>
  </si>
  <si>
    <t>Les adversaires peuvent utiliser cet cronutilitaire de manière abusive pour planifier des tâches en vue de l'exécution initiale ou récurrente de code malveillant. L' cronutilitaire est un planificateur de tâches basé sur le temps pour les systèmes d'exploitation de type Unix. Le crontabfichier contient la planification des entrées cron à exécuter et les heures d'exécution spécifiées. Tous crontables fichiers sont stockés dans des chemins d'accès spécifiques au système d'exploitation.</t>
  </si>
  <si>
    <t>Les adversaires peuvent abuser du planificateur de tâches Windows pour effectuer la planification de tâches pour l'exécution initiale ou récurrente de code malveillant. Il existe plusieurs façons d'accéder au planificateur de tâches dans Windows. L' utilitaire schtasks peut être exécuté directement sur la ligne de commande, ou le planificateur de tâches peut être ouvert via l'interface graphique dans la section Outils d'administration du Panneau de configuration. Dans certains cas, les adversaires ont utilisé un wrapper .NET pour le planificateur de tâches Windows, et alternativement, les adversaires ont utilisé la bibliothèque Windows netapi32 et Windows Management Instrumentation (WMI) pour créer une tâche planifiée. Les adversaires peuvent également utiliser l'applet de commande Powershell Invoke-CimMethod, qui exploite la classe WMI PS_ScheduledTaskpour créer une tâche planifiée via un chemin XML.</t>
  </si>
  <si>
    <t>Les adversaires peuvent exploiter les minuteurs systemd pour effectuer la planification de tâches pour l'exécution initiale ou récurrente de code malveillant. Les minuteurs systemd sont des fichiers unitaires avec une extension de fichier .timerqui contrôlent les services. Les minuteurs peuvent être configurés pour s'exécuter sur un événement de calendrier ou après une période de temps relative à un point de départ. Ils peuvent être utilisés comme alternative à Cron dans les environnements Linux. Les minuteurs systemd peuvent être activés à distance via l' systemctlutilitaire de ligne de commande, qui fonctionne via SSH .</t>
  </si>
  <si>
    <t>Un adversaire peut compter sur un utilisateur qui clique sur un lien malveillant pour obtenir une exécution. Les utilisateurs peuvent être soumis à l'ingénierie sociale pour les inciter à cliquer sur un lien qui conduira à l'exécution de code. Cette action de l'utilisateur sera généralement considérée comme un comportement de suivi du Spearphishing Link . Cliquer sur un lien peut également conduire à d'autres techniques d'exécution telles que l'exploitation d'une vulnérabilité du navigateur ou de l'application via l'Exploitation for Client Execution . Les liens peuvent également amener les utilisateurs à télécharger des fichiers qui nécessitent une exécution via Malicious File .</t>
  </si>
  <si>
    <t>Les adversaires peuvent modifier le authorized_keysfichier SSH pour maintenir la persistance sur un hôte victime. Les distributions Linux et macOS utilisent généralement l'authentification par clé pour sécuriser le processus d'authentification des sessions SSH pour la gestion à distance. Le authorized_keysfichier dans SSH spécifie les clés SSH qui peuvent être utilisées pour se connecter au compte utilisateur pour lequel le fichier est configuré. Ce fichier se trouve généralement dans le répertoire personnel de l'utilisateur sous &lt;user-home&gt;/.ssh/authorized_keys. Les utilisateurs peuvent modifier le fichier de configuration SSH du système pour modifier les directives PubkeyAuthentication et RSAAuthentication sur la valeur « yes » pour garantir que l'authentification par clé publique et RSA est activée. Le fichier de configuration SSH se trouve généralement sous /etc/ssh/sshd_config.</t>
  </si>
  <si>
    <t>Les pirates peuvent exploiter les fonctionnalités de Winlogon pour exécuter des DLL et/ou des exécutables lorsqu'un utilisateur se connecte. Winlogon.exe est un composant Windows responsable des actions lors de la connexion/déconnexion ainsi que de la séquence d'attention sécurisée (SAS) déclenchée par Ctrl-Alt-Suppr. Les entrées de registre dans HKLM\Software[\Wow6432Node\]\Microsoft\Windows NT\CurrentVersion\Winlogon\et HKCU\Software\Microsoft\Windows NT\CurrentVersion\Winlogon\sont utilisées pour gérer des programmes d'aide et des fonctionnalités supplémentaires qui prennent en charge Winlogon.</t>
  </si>
  <si>
    <t>Les adversaires peuvent modifier les fichiers plist pour exécuter automatiquement une application lorsqu'un utilisateur se connecte. Lorsqu'un utilisateur se déconnecte ou redémarre via l'interface utilisateur graphique (GUI) de macOS, une invite s'affiche avec une case à cocher pour « Rouvrir les fenêtres lors de la reconnexion ». Lorsque cette option est sélectionnée, toutes les applications actuellement ouvertes sont ajoutées à un fichier de liste de propriétés nommé com.apple.loginwindow.[UUID].plistdans le ~/Library/Preferences/ByHostrépertoire. Les applications répertoriées dans ce fichier sont automatiquement rouvertes lors de la prochaine connexion de l'utilisateur.</t>
  </si>
  <si>
    <t>Les adversaires peuvent utiliser des moniteurs de port pour exécuter une DLL fournie par l'adversaire lors du démarrage du système à des fins de persistance ou d'escalade de privilèges. Un moniteur de port peut être défini via l' AddMonitorappel d'API pour définir une DLL à charger au démarrage. Cette DLL peut être située dans C:\Windows\System32le service de spouleur d'impression, sous les autorisations de niveau SYSTÈME au démarrage, et sera chargée et exécutée par celui-ci spoolsv.exe.</t>
  </si>
  <si>
    <t>Les adversaires peuvent exploiter les processeurs d'impression pour exécuter des DLL malveillantes lors du démarrage du système à des fins de persistance et/ou d'élévation des privilèges. Les processeurs d'impression sont des DLL chargées par le service de spouleur d'impression, spoolsv.exelors du démarrage.</t>
  </si>
  <si>
    <t>Les adversaires peuvent ajouter ou modifier des entrées de démarrage automatique XDG pour exécuter des programmes ou des commandes malveillants lorsque l'environnement de bureau d'un utilisateur est chargé lors de la connexion. Les entrées de démarrage automatique XDG sont disponibles pour tout système Linux compatible XDG. Les entrées de démarrage automatique XDG utilisent des fichiers d'entrée de bureau ( .desktop) pour configurer l'environnement de bureau de l'utilisateur lors de la connexion de l'utilisateur. Ces fichiers de configuration déterminent les applications qui se lancent lors de la connexion de l'utilisateur, définissent les applications associées pour ouvrir des types de fichiers spécifiques et définissent les applications utilisées pour ouvrir les supports amovibles.</t>
  </si>
  <si>
    <t>Les adversaires peuvent utiliser des scripts de connexion Windows exécutés automatiquement lors de l'initialisation de la connexion pour établir la persistance. Windows permet d'exécuter des scripts de connexion chaque fois qu'un utilisateur ou un groupe d'utilisateurs spécifique se connecte à un système. Cela se fait en ajoutant un chemin d'accès à un script à la HKCU\Environment\UserInitMprLogonScriptclé de registre.</t>
  </si>
  <si>
    <t>Les adversaires peuvent utiliser un hook de connexion pour établir une persistance exécutée lors de la connexion de l'utilisateur. Un hook de connexion est un fichier plist qui pointe vers un script spécifique à exécuter avec des privilèges root lors de la connexion de l'utilisateur. Le fichier plist se trouve dans le /Library/Preferences/com.apple.loginwindow.plistfichier et peut être modifié à l'aide de l' defaultsutilitaire de ligne de commande. Ce comportement est le même pour les hooks de déconnexion où un script peut être exécuté lors de la déconnexion de l'utilisateur. Tous les hooks nécessitent des autorisations d'administrateur pour modifier ou créer des hooks.</t>
  </si>
  <si>
    <t>Les adversaires peuvent créer un compte de domaine pour maintenir l'accès aux systèmes des victimes. Les comptes de domaine sont ceux gérés par les services de domaine Active Directory où l'accès et les autorisations sont configurés sur les systèmes et services qui font partie de ce domaine. Les comptes de domaine peuvent couvrir les comptes d'utilisateur, d'administrateur et de service. Avec un niveau d'accès suffisant, la net user /add /domaincommande peut être utilisée pour créer un compte de domaine.</t>
  </si>
  <si>
    <t>Les adversaires peuvent créer ou modifier des processus au niveau du système pour exécuter de manière répétée des charges malveillantes dans le cadre de la persistance. Lorsque les systèmes d'exploitation démarrent, ils peuvent démarrer des processus qui exécutent des fonctions système en arrière-plan. Sous Windows et Linux, ces processus système sont appelés services. Sous macOS, les processus launchd connus sous le nom de Launch Daemon et Launch Agent sont exécutés pour terminer l'initialisation du système et charger des paramètres spécifiques à l'utilisateur.</t>
  </si>
  <si>
    <t>Les adversaires peuvent créer ou modifier des agents de lancement pour exécuter de manière répétée des charges utiles malveillantes dans le cadre de la persistance. Lorsqu'un utilisateur se connecte, un processus launchd par utilisateur est démarré, qui charge les paramètres de chaque agent utilisateur de lancement à la demande à partir du fichier de liste de propriétés (.plist) trouvé dans /System/Library/LaunchAgents, /Library/LaunchAgents, et ~/Library/LaunchAgents. Les fichiers de liste de propriétés utilisent les clés Label, ProgramArguments , et RunAtLoadpour identifier le nom de l'agent de lancement, l'emplacement de l'exécutable et l'heure d'exécution. Les agents de lancement sont souvent installés pour effectuer des mises à jour de programmes, lancer des programmes spécifiés par l'utilisateur lors de la connexion ou pour effectuer d'autres tâches de développement.</t>
  </si>
  <si>
    <t>Les adversaires peuvent créer ou modifier des démons de lancement pour exécuter des charges utiles malveillantes dans le cadre de la persistance. Les démons de lancement sont des fichiers plist utilisés pour interagir avec Launchd, l'infrastructure de gestion des services utilisée par macOS. Les démons de lancement nécessitent des privilèges élevés pour s'installer, sont exécutés pour chaque utilisateur d'un système avant la connexion et s'exécutent en arrière-plan sans nécessiter d'interaction de l'utilisateur. Pendant le démarrage de l'initialisation de macOS, le processus launchd charge les paramètres des démons de niveau système de lancement à la demande à partir des fichiers plist trouvés dans /System/Library/LaunchDaemons/et /Library/LaunchDaemons/. Les paramètres requis des démons de lancement incluent un Labelpour identifier la tâche, Programpour fournir un chemin d'accès à l'exécutable et RunAtLoadpour spécifier quand la tâche est exécutée. Les démons de lancement sont souvent utilisés pour fournir un accès aux ressources partagées, des mises à jour de logiciels ou pour effectuer des tâches d'automatisation.</t>
  </si>
  <si>
    <t>Les adversaires peuvent établir une persistance en exécutant du contenu malveillant déclenché par l'inactivité de l'utilisateur. Les économiseurs d'écran sont des programmes qui s'exécutent après une durée configurable d'inactivité de l'utilisateur et se composent de fichiers exécutables portables (PE) avec une extension de fichier .scr. L'application d'économiseur d'écran Windows scrnsave.scr se trouve dans C:\Windows\System32\, et C:\Windows\sysWOW64\ sur les systèmes Windows 64 bits, avec les économiseurs d'écran inclus dans les installations Windows de base.</t>
  </si>
  <si>
    <t>Les adversaires peuvent établir une persistance en exécutant un contenu malveillant déclenché par un signal d'interruption. La trapcommande permet aux programmes et aux shells de spécifier les commandes qui seront exécutées lors de la réception de signaux d'interruption. Une situation courante est un script permettant une terminaison et une gestion élégantes des interruptions clavier courantes telles que ctrl+cet ctrl+d.</t>
  </si>
  <si>
    <t>Les adversaires peuvent établir une persistance en exécutant du contenu malveillant déclenché par les DLL d'aide Netsh. Netsh.exe (également appelé Netshell) est un utilitaire de script de ligne de commande utilisé pour interagir avec la configuration réseau d'un système. Il contient des fonctionnalités permettant d'ajouter des DLL d'aide pour étendre les fonctionnalités de l'utilitaire. Les chemins d'accès aux DLL d'aide netsh.exe enregistrées sont saisis dans le registre Windows à l'adresse HKLM\SOFTWARE\Microsoft\Netsh.</t>
  </si>
  <si>
    <t>Les adversaires peuvent établir la persistance et/ou élever les privilèges en exécutant du contenu malveillant déclenché par des DLL AppCert chargées dans des processus. Les bibliothèques de liens dynamiques (DLL) spécifiées dans la AppCertDLLsclé de registre sous HKEY_LOCAL_MACHINE\System\CurrentControlSet\Control\Session Manager\sont chargées dans chaque processus qui appelle les fonctions d'interface de programmation d'application (API) omniprésentes CreateProcess, CreateProcessAsUser, CreateProcessWithLoginW, CreateProcessWithTokenW, ou WinExec.</t>
  </si>
  <si>
    <t>Les adversaires peuvent établir une persistance et/ou élever les privilèges en exécutant du contenu malveillant déclenché par des DLL AppInit chargées dans des processus. Les bibliothèques de liens dynamiques (DLL) qui sont spécifiées dans la AppInit_DLLsvaleur des clés de registre HKEY_LOCAL_MACHINE\Software\Microsoft\Windows NT\CurrentVersion\Windowsou HKEY_LOCAL_MACHINE\Software\Wow6432Node\Microsoft\Windows NT\CurrentVersion\Windowsqui sont chargées par user32.dll dans chaque processus qui charge user32.dll. En pratique, cela concerne presque tous les programmes, car user32.dll est une bibliothèque très courante.</t>
  </si>
  <si>
    <t>Les adversaires peuvent établir une persistance et/ou élever les privilèges en exécutant du contenu malveillant déclenché par les débogueurs IFEO (Image File Execution Options). Les IFEO permettent à un développeur d'attacher un débogueur à une application. Lorsqu'un processus est créé, un débogueur présent dans l'IFEO d'une application sera ajouté au début du nom de l'application, lançant ainsi le nouveau processus sous le débogueur (par exemple, C:\dbg\ntsd.exe -g notepad.exe).</t>
  </si>
  <si>
    <t>Les adversaires peuvent maintenir la persistance en exécutant du contenu malveillant déclenché à l'aide de règles udev. Udev est le gestionnaire de périphériques du noyau Linux qui gère de manière dynamique les nœuds de périphériques, gère l'accès aux fichiers pseudo-périphériques dans le /devrépertoire et répond aux événements matériels, par exemple lorsque des périphériques externes tels que des disques durs ou des claviers sont branchés ou retirés. Udev utilise des fichiers de règles avec match keyspour spécifier les conditions qu'un événement matériel doit respecter et action keyspour définir les actions qui doivent suivre. Des autorisations root sont requises pour créer, modifier ou supprimer des fichiers de règles situés dans /etc/udev/rules.d/, /run/udev/rules.d/, /usr/lib/udev/rules.d/, /usr/local/lib/udev/rules.d/et /lib/udev/rules.d/. La priorité des règles est déterminée à la fois par le répertoire et par le préfixe numérique dans le nom de fichier de règles.</t>
  </si>
  <si>
    <t>Les adversaires peuvent exécuter leurs propres charges utiles en plaçant une bibliothèque dynamique malveillante (dylib) avec un nom attendu dans un chemin qu'une application victime recherche au moment de l'exécution. Le chargeur dynamique essaiera de trouver les dylibs en fonction de l'ordre séquentiel des chemins de recherche. Les chemins vers les dylibs peuvent être préfixés par @rpath, ce qui permet aux développeurs d'utiliser des chemins relatifs pour spécifier un tableau de chemins de recherche utilisés au moment de l'exécution en fonction de l'emplacement de l'exécutable. De plus, si une liaison faible est utilisée, comme la LC_LOAD_WEAK_DYLIBfonction, une application s'exécutera toujours même si une dylib attendue n'est pas présente. La liaison faible permet aux développeurs d'exécuter une application sur plusieurs versions de macOS à mesure que de nouvelles API sont ajoutées.</t>
  </si>
  <si>
    <t>Les adversaires peuvent exécuter leurs propres charges utiles malveillantes en détournant les variables d'environnement que l'éditeur de liens dynamiques utilise pour charger les bibliothèques partagées. Pendant la phase de préparation de l'exécution d'un programme, l'éditeur de liens dynamiques charge les chemins absolus spécifiés des bibliothèques partagées à partir des variables d'environnement et des fichiers, comme LD_PRELOADsous Linux ou DYLD_INSERT_LIBRARIESsous macOS. Les bibliothèques spécifiées dans les variables d'environnement sont chargées en premier, prenant le pas sur les bibliothèques système portant le même nom de fonction. Ces variables sont souvent utilisées par les développeurs pour déboguer les binaires sans avoir besoin de recompiler, de déconflicter les symboles mappés et d'implémenter des fonctions personnalisées sans modifier la bibliothèque d'origine.</t>
  </si>
  <si>
    <t>Les adversaires peuvent exécuter leurs propres charges utiles malveillantes en détournant les entrées de registre utilisées par les services. Les adversaires peuvent exploiter les failles dans les autorisations des clés de registre liées aux services pour rediriger l'exécutable spécifié à l'origine vers un exécutable qu'ils contrôlent, afin de lancer leur propre code au démarrage d'un service. Windows stocke les informations de configuration du service local dans le registre sous HKLM\SYSTEM\CurrentControlSet\Services. Les informations stockées sous les clés de registre d'un service peuvent être manipulées pour modifier les paramètres d'exécution d'un service via des outils tels que le contrôleur de service, sc.exe, PowerShell ou Reg . L'accès aux clés de registre est contrôlé via des listes de contrôle d'accès et des autorisations utilisateur.</t>
  </si>
  <si>
    <t>Les adversaires peuvent exploiter le KernelCallbackTableprocessus pour détourner son flux d'exécution afin d'exécuter leurs propres charges utiles. Le KernelCallbackTablepeut être trouvé dans le bloc d'environnement de processus (PEB) et est initialisé à un tableau de fonctions graphiques disponibles pour un processus d'interface utilisateur graphique une fois user32.dllchargé.</t>
  </si>
  <si>
    <t>Les adversaires peuvent exécuter leurs propres charges utiles malveillantes en détournant la manière dont .NET AppDomainManagercharge les assemblages. Le framework .NET utilise la AppDomainManagerclasse pour créer et gérer un ou plusieurs environnements d'exécution isolés (appelés domaines d'application) à l'intérieur d'un processus pour héberger l'exécution des applications .NET. Les assemblages ( .exeou .dllbinaires compilés pour s'exécuter en tant que code .NET) peuvent être chargés dans un domaine d'application en tant que code exécutable.</t>
  </si>
  <si>
    <t>Les adversaires peuvent modifier les modules d'authentification enfichables (PAM) pour accéder aux informations d'identification des utilisateurs ou permettre un accès injustifié aux comptes. PAM est un système modulaire de fichiers de configuration, de bibliothèques et de fichiers exécutables qui guident l'authentification pour de nombreux services. Le module d'authentification le plus courant est pam_unix.so, qui récupère, définit et vérifie les informations d'authentification des comptes dans /etc/passwdet /etc/shadow.</t>
  </si>
  <si>
    <t>Un adversaire peut abuser des propriétés de chiffrement d'authentification Active Directory pour accéder aux informations d'identification sur les systèmes Windows. La AllowReversiblePasswordEncryptionpropriété spécifie si le chiffrement réversible du mot de passe pour un compte est activé ou désactivé. Par défaut, cette propriété est désactivée (au lieu de cela, elle stocke les informations d'identification de l'utilisateur en tant que sortie de fonctions de hachage unidirectionnel) et ne doit pas être activée, sauf si des logiciels hérités ou autres l'exigent.</t>
  </si>
  <si>
    <t>Les adversaires peuvent enregistrer des bibliothèques de liens dynamiques (DLL) de fournisseurs de réseau malveillants pour capturer les informations d'identification de l'utilisateur en texte clair pendant le processus d'authentification. Les DLL de fournisseurs de réseau permettent à Windows de s'interfacer avec des protocoles réseau spécifiques et peuvent également prendre en charge des fonctions de gestion des informations d'identification complémentaires. Pendant le processus de connexion, Winlogon (le module de connexion interactif) envoie les informations d'identification au mpnotify.exeprocessus local via RPC. Le mpnotify.exeprocessus partage ensuite les informations d'identification en texte clair avec les gestionnaires d'informations d'identification enregistrés lorsqu'il est informé qu'un événement de connexion se produit.</t>
  </si>
  <si>
    <t>Les adversaires peuvent installer des composants malveillants qui s'exécutent sur les serveurs Web IIS (Internet Information Services) pour établir la persistance. IIS fournit plusieurs mécanismes pour étendre les fonctionnalités des serveurs Web. Par exemple, des extensions et des filtres ISAPI (Internet Server Application Programming Interface) peuvent être installés pour examiner et/ou modifier les requêtes Web IIS entrantes et sortantes. Les extensions et les filtres sont déployés sous forme de fichiers DLL qui exportent trois fonctions : Get{Extension/Filter}Version, Http{Extension/Filter}Procet (facultativement) Terminate{Extension/Filter}. Des modules IIS peuvent également être installés pour étendre les serveurs Web IIS.</t>
  </si>
  <si>
    <t>Les adversaires peuvent attacher des filtres à un socket réseau pour surveiller puis activer les portes dérobées utilisées pour la persistance ou le commandement et le contrôle. Avec des autorisations élevées, les adversaires peuvent utiliser des fonctionnalités telles que la libpcapbibliothèque pour ouvrir des sockets et installer des filtres pour autoriser ou interdire certains types de données à passer par le socket. Le filtre peut s'appliquer à tout le trafic passant par l'interface réseau spécifiée (ou à chaque interface si elle n'est pas spécifiée). Lorsque l'interface réseau reçoit un paquet correspondant aux critères de filtre, des actions supplémentaires peuvent être déclenchées sur l'hôte, telles que l'activation d'un shell inversé.</t>
  </si>
  <si>
    <t>Les adversaires peuvent exploiter l' AuthorizationExecuteWithPrivilegesAPI pour augmenter les privilèges en demandant à l'utilisateur ses informations d'identification. L'objectif de cette API est de fournir aux développeurs d'applications un moyen simple d'effectuer des opérations avec des privilèges root, par exemple pour l'installation ou la mise à jour d'applications. Cette API ne vérifie pas que le programme demandant des privilèges root provient d'une source fiable ou a été modifié de manière malveillante.</t>
  </si>
  <si>
    <t>Les adversaires peuvent dupliquer puis usurper l'identité du jeton existant d'un autre utilisateur pour augmenter les privilèges et contourner les contrôles d'accès. Par exemple, un adversaire peut dupliquer un jeton existant en utilisant DuplicateTokenou DuplicateTokenEx. Le jeton peut ensuite être utilisé avec ImpersonateLoggedOnUserpour permettre au thread appelant d'usurper l'identité du contexte de sécurité d'un utilisateur connecté, ou avec SetThreadTokenpour attribuer le jeton usurpé à un thread.</t>
  </si>
  <si>
    <t>Les adversaires peuvent créer un nouveau processus avec un jeton existant pour augmenter les privilèges et contourner les contrôles d'accès. Les processus peuvent être créés avec le jeton et le contexte de sécurité résultant d'un autre utilisateur à l'aide de fonctionnalités telles que CreateProcessWithTokenWet runas.</t>
  </si>
  <si>
    <t>Les adversaires peuvent créer de nouveaux jetons et se faire passer pour des utilisateurs afin d'augmenter les privilèges et de contourner les contrôles d'accès. Par exemple, si un adversaire dispose d'un nom d'utilisateur et d'un mot de passe mais que l'utilisateur n'est pas connecté au système, il peut alors créer une session de connexion pour l'utilisateur à l'aide de la LogonUserfonction. La fonction renverra une copie du jeton d'accès de la nouvelle session et l'adversaire pourra l'utiliser SetThreadTokenpour attribuer le jeton à un thread.</t>
  </si>
  <si>
    <t>Les adversaires peuvent usurper l'identifiant de processus parent (PPID) d'un nouveau processus pour échapper aux défenses de surveillance des processus ou pour élever les privilèges. Les nouveaux processus sont généralement générés directement à partir de leur processus parent ou appelant, sauf spécification explicite. Une façon d'attribuer explicitement le PPID d'un nouveau processus consiste à utiliser l' CreateProcessappel d'API, qui prend en charge un paramètre définissant le PPID à utiliser. Cette fonctionnalité est utilisée par les fonctionnalités Windows telles que le contrôle de compte d'utilisateur (UAC) pour définir correctement le PPID après qu'un processus élevé demandé est généré par SYSTEM (généralement via svchost.exeou consent.exe) plutôt que par le contexte utilisateur actuel.</t>
  </si>
  <si>
    <t>Les adversaires peuvent modifier les objets de stratégie de groupe (GPO) pour contourner les contrôles d'accès discrétionnaires prévus pour un domaine, généralement dans le but d'augmenter les privilèges sur le domaine. La stratégie de groupe permet une gestion centralisée des paramètres utilisateur et ordinateur dans Active Directory (AD). Les GPO sont des conteneurs pour les paramètres de stratégie de groupe constitués de fichiers stockés dans un chemin réseau prévisible \&lt;DOMAIN&gt;\SYSVOL\&lt;DOMAIN&gt;\Policies\.</t>
  </si>
  <si>
    <t>Les adversaires peuvent créer une image de conteneur directement sur un hôte pour contourner les défenses qui surveillent la récupération d'images malveillantes à partir d'un registre public. Une buildrequête distante peut être envoyée à l'API Docker qui inclut un Dockerfile qui extrait une image de base vanilla, telle qu'alpine, à partir d'un registre public ou local, puis crée une image personnalisée dessus.</t>
  </si>
  <si>
    <t>Les pirates informatiques peuvent masquer des fichiers et des répertoires pour échapper aux mécanismes de détection. Pour empêcher les utilisateurs normaux de modifier accidentellement des fichiers spéciaux sur un système, la plupart des systèmes d'exploitation ont le concept de fichier « caché ». Ces fichiers n'apparaissent pas lorsqu'un utilisateur parcourt le système de fichiers avec une interface utilisateur graphique ou lorsqu'il utilise des commandes normales sur la ligne de commande. Les utilisateurs doivent demander explicitement l'affichage des fichiers cachés soit via une série d'invites d'interface utilisateur graphique (GUI), soit avec des commutateurs de ligne de commande ( dir /apour Windows et ls –apour Linux et macOS).</t>
  </si>
  <si>
    <t>Les adversaires peuvent utiliser des règles de messagerie pour masquer les e-mails entrants dans la boîte aux lettres d'un utilisateur compromis. De nombreux clients de messagerie permettent aux utilisateurs de créer des règles de boîte de réception pour diverses fonctions de messagerie, notamment le déplacement d'e-mails vers d'autres dossiers, le marquage d'e-mails comme lus ou la suppression d'e-mails. Les règles peuvent être créées ou modifiées dans les clients de messagerie ou via des fonctionnalités externes telles que les applets de commande PowerShellNew-InboxRule ou sur les systèmes Windows. Set-InboxRule</t>
  </si>
  <si>
    <t>Les adversaires peuvent abuser des fourches de ressources pour masquer du code malveillant ou des exécutables afin d'échapper à la détection et de contourner les applications de sécurité. Une fourche de ressources fournit aux applications un moyen structuré de stocker des ressources telles que des images miniatures, des définitions de menu, des icônes, des boîtes de dialogue et du code. L'utilisation d'une fourche de ressources est identifiable lors de l'affichage des attributs étendus d'un fichier, à l'aide de commandes ls -l@ou xattr -l. Les fourches de ressources ont été déconseillées et remplacées par la structure de bundle d'application. Les ressources non localisées sont placées dans le répertoire de niveau supérieur d'un bundle d'application, tandis que les ressources localisées sont placées dans le /Resourcesdossier.</t>
  </si>
  <si>
    <t>Un adversaire peut tenter de bloquer la collecte et l'analyse d'indicateurs ou d'événements généralement capturés par des capteurs. Cela peut inclure la redirection malveillante ou même la désactivation de capteurs basés sur l'hôte, tels que Event Tracing for Windows (ETW), en altérant les paramètres qui contrôlent la collecte et le flux de télémétrie des événements. Ces paramètres peuvent être stockés sur le système dans des fichiers de configuration et/ou dans le Registre et être accessibles via des utilitaires d'administration tels que PowerShell ou Windows Management Instrumentation .</t>
  </si>
  <si>
    <t>Les adversaires peuvent se faire passer pour une personne ou une organisation de confiance afin de persuader et de tromper une cible pour qu'elle exécute une action en leur nom. Par exemple, les adversaires peuvent communiquer avec les victimes (par hameçonnage pour information , hameçonnage ou hameçonnage ciblé interne ) en se faisant passer pour un expéditeur connu tel qu'un dirigeant, un collègue ou un fournisseur tiers. La confiance établie peut ensuite être exploitée pour atteindre les objectifs ultimes d'un adversaire, éventuellement contre plusieurs victimes.</t>
  </si>
  <si>
    <t>Les adversaires peuvent effacer les journaux système pour masquer les preuves d'une intrusion. macOS et Linux gardent tous deux une trace des actions initiées par le système ou par l'utilisateur via les journaux système. La majorité des journaux système natifs sont stockés sous le /var/log/répertoire. Les sous-dossiers de ce répertoire classent les journaux en fonction de leurs fonctions associées, telles que :</t>
  </si>
  <si>
    <t>Les adversaires peuvent supprimer les connexions de partage qui ne sont plus utiles afin de nettoyer les traces de leur fonctionnement. Les connexions de lecteur partagé Windows et de partages SMB/Windows Admin peuvent être supprimées lorsqu'elles ne sont plus nécessaires. Net est un exemple d'utilitaire qui peut être utilisé pour supprimer les connexions de partage réseau avec la net use \system\share /deletecommande.</t>
  </si>
  <si>
    <t>Les adversaires peuvent effacer ou supprimer les preuves de connexions réseau malveillantes afin de nettoyer les traces de leurs opérations. Des paramètres de configuration ainsi que divers artefacts mettant en évidence l'historique des connexions peuvent être créés sur un système et/ou dans les journaux d'application à partir de comportements nécessitant des connexions réseau, tels que les services distants ou les services distants externes . Les défenseurs peuvent utiliser ces artefacts pour surveiller ou analyser les connexions réseau créées par les adversaires.</t>
  </si>
  <si>
    <t>Les adversaires peuvent effacer les artefacts associés à la persistance précédemment établie sur un système hôte pour supprimer les preuves de leur activité. Cela peut impliquer diverses actions, telles que la suppression de services, la suppression d'exécutables, la modification du registre , la modification du fichier Plist ou d'autres méthodes de nettoyage pour empêcher les défenseurs de collecter des preuves de leur présence persistante. Les adversaires peuvent également supprimer les comptes précédemment créés pour maintenir la persistance (c'est-à-dire créer un compte ).</t>
  </si>
  <si>
    <t>Les adversaires peuvent abuser des utilitaires qui permettent l'exécution de commandes pour contourner les restrictions de sécurité qui limitent l'utilisation des interpréteurs de ligne de commande. Divers utilitaires Windows peuvent être utilisés pour exécuter des commandes, éventuellement sans appeler cmd . Par exemple, Forfiles , l'assistant de compatibilité des programmes (pcalua.exe), les composants du sous-système Windows pour Linux (WSL), Scriptrunner.exe, ainsi que d'autres utilitaires peuvent appeler l'exécution de programmes et de commandes à partir d'un interpréteur de commandes et de scripts , d'une fenêtre Exécuter ou via des scripts.</t>
  </si>
  <si>
    <t>Les adversaires peuvent abuser du caractère de substitution de droite à gauche (RTLO ou RLO) (U+202E) pour masquer une chaîne et/ou un nom de fichier afin de le faire paraître inoffensif. RTLO est un caractère Unicode non imprimable qui provoque l'affichage inversé du texte qui le suit. Par exemple, un exécutable d'économiseur d'écran Windows nommé March 25 \u202Excod.scrs'affichera sous la forme March 25 rcs.docx. Un fichier JavaScript nommé photo_high_re\u202Egnp.jss'affichera sous la forme photo_high_resj.png.</t>
  </si>
  <si>
    <t>Les adversaires peuvent renommer des utilitaires système légitimes pour tenter d'échapper aux mécanismes de sécurité concernant l'utilisation de ces utilitaires. Des mécanismes de surveillance et de contrôle de sécurité peuvent être en place pour les utilitaires système que les adversaires sont capables d'utiliser de manière abusive. Il peut être possible de contourner ces mécanismes de sécurité en renommant l'utilitaire avant son utilisation (par exemple : renommer rundll32.exe). Un autre cas se produit lorsqu'un utilitaire légitime est copié ou déplacé vers un autre répertoire et renommé pour éviter les détections basées sur des utilitaires système exécutés à partir de chemins non standard.</t>
  </si>
  <si>
    <t>Les pirates peuvent utiliser une double extension dans le nom de fichier pour masquer le véritable type de fichier. Un nom de fichier peut inclure une extension de type de fichier secondaire qui peut entraîner l'affichage uniquement de la première extension (par exemple, File.txt.exeelle peut s'afficher dans certaines vues sous la forme File.txt). Cependant, la deuxième extension est le véritable type de fichier qui détermine la manière dont le fichier est ouvert et exécuté. L'extension de fichier réelle peut être masquée par le système d'exploitation dans le navigateur de fichiers (par exemple, explorer.exe), ainsi que dans tout logiciel configuré à l'aide des politiques du système ou de manière similaire.</t>
  </si>
  <si>
    <t>Les pirates peuvent faire passer des charges utiles malveillantes pour des fichiers légitimes en modifiant le format de la charge utile, notamment la signature, l'extension et le contenu du fichier. Différents types de fichiers ont un format standard typique, notamment la manière dont ils sont codés et organisés. Par exemple, la signature d'un fichier (également appelée en-tête ou octets magiques) correspond aux premiers octets d'un fichier et est souvent utilisée pour identifier le type du fichier. Par exemple, l'en-tête d'un fichier JPEG est 0xFF 0xD8et l'extension de fichier est soit .JPE, .JPEGsoit .JPG.</t>
  </si>
  <si>
    <t>Les adversaires peuvent faire correspondre ou rapprocher les noms de comptes légitimes pour faire paraître bénins les comptes nouvellement créés. Cela se produit généralement lors de la création d'un compte , bien que les comptes puissent également être renommés ultérieurement. Cela peut également coïncider avec la suppression de l'accès au compte si l'acteur supprime d'abord un compte avant d'en recréer un avec le même nom.</t>
  </si>
  <si>
    <t>Un adversaire peut créer une nouvelle instance ou machine virtuelle (VM) au sein du service de calcul d'un compte cloud pour échapper aux défenses. La création d'une nouvelle instance peut permettre à un adversaire de contourner les règles et autorisations de pare-feu qui existent sur les instances résidant actuellement dans un compte. Un adversaire peut créer un instantané d'un ou plusieurs volumes dans un compte, créer une nouvelle instance, monter les instantanés, puis appliquer une politique de sécurité moins restrictive pour collecter des données à partir du système local ou pour la préparation de données à distance .</t>
  </si>
  <si>
    <t>Les adversaires peuvent tenter de rendre une charge utile difficile à analyser en supprimant des symboles, des chaînes et d'autres informations lisibles par l'homme. Les scripts et les exécutables peuvent contenir des noms de variables et d'autres chaînes qui aident les développeurs à documenter les fonctionnalités du code. Les symboles sont souvent créés par un système d'exploitation linkerlors de la compilation des charges utiles exécutables. Les ingénieurs inverses utilisent ces symboles et chaînes pour analyser le code et identifier les fonctionnalités des charges utiles.</t>
  </si>
  <si>
    <t>Les adversaires peuvent masquer le contenu pendant l'exécution des commandes pour empêcher la détection. L'obscurcissement de la ligne de commande est une méthode permettant de rendre les chaînes et les modèles au sein des commandes et des scripts plus difficiles à signer et à analyser. Ce type d'obscurcissement peut être inclus dans les commandes exécutées par les charges utiles livrées (par exemple, Phishing et Drive-by Compromise ) ou de manière interactive via l'interpréteur de commandes et de scripts .</t>
  </si>
  <si>
    <t>Les adversaires peuvent stocker des données dans des formats « sans fichier » pour dissimuler une activité malveillante aux défenses. Le stockage sans fichier peut être défini de manière générale comme tout format autre qu'un fichier. Les exemples courants de stockage sans fichier non volatil dans les systèmes Windows incluent le registre Windows, les journaux d'événements ou le référentiel WMI. Dans les systèmes Linux, les répertoires de mémoire partagée tels que /dev/shm, /run/shm, /var/run, et /var/lockpeuvent également être considérés comme du stockage sans fichier, car les fichiers écrits dans ces répertoires sont mappés directement sur la RAM et ne sont pas stockés sur le disque.</t>
  </si>
  <si>
    <t>Les adversaires peuvent faire passer en fraude des commandes pour télécharger des charges utiles malveillantes au-delà des filtres de contenu en les cachant dans des fichiers de raccourcis Windows apparemment inoffensifs. Les fichiers de raccourcis Windows (.LNK) incluent de nombreux champs de métadonnées, notamment un champ d'emplacement d'icône (également appelé IconEnvironmentDataBlock) conçu pour spécifier le chemin d'accès à un fichier d'icône qui doit être affiché pour le fichier LNK dans un répertoire hôte.</t>
  </si>
  <si>
    <t>Les adversaires peuvent chiffrer ou encoder des fichiers pour masquer des chaînes, des octets et d'autres modèles spécifiques afin d'empêcher la détection. Le chiffrement et/ou l'encodage du contenu d'un fichier vise à dissimuler des artefacts malveillants dans un fichier utilisé lors d'une intrusion. De nombreuses autres techniques, telles que le Software Packing , la Steganography et les Embedded Payloads , partagent ce même objectif général. Le chiffrement et/ou l'encodage de fichiers pourrait entraîner une défaillance de la détection des signatures statiques, uniquement pour que ce contenu malveillant soit révélé (c'est-à-dire, désobfusquer/décoder des fichiers ou des informations ) au moment de l'exécution/utilisation.</t>
  </si>
  <si>
    <t>Les adversaires peuvent utiliser du code polymorphe (également appelé code métamorphique ou code mutant) pour échapper à la détection. Le code polymorphe est un type de logiciel capable de modifier son empreinte d'exécution pendant l'exécution du code. À chaque exécution du logiciel, le code est muté en une version différente de lui-même qui atteint le même but ou objectif que l'original. Cette fonctionnalité permet au logiciel malveillant d'échapper aux défenses traditionnelles basées sur les signatures, telles que les outils antivirus et antimalware. D'autres techniques d'obscurcissement peuvent être utilisées en conjonction avec le code polymorphe pour obtenir les effets escomptés, notamment l'utilisation de moteurs de mutation pour effectuer des actions telles que le Software Packing , le Command Obfuscation ou le Encrypted/Encoded File .</t>
  </si>
  <si>
    <t>Les adversaires peuvent modifier les fichiers de liste de propriétés (fichiers plist) pour permettre d'autres activités malveillantes, tout en contournant et en échappant potentiellement aux défenses du système. Les applications macOS utilisent des fichiers plist, tels que le info.plistfichier, pour stocker les propriétés et les paramètres de configuration qui indiquent au système d'exploitation comment gérer l'application au moment de l'exécution. Les fichiers plist sont des métadonnées structurées en paires clé-valeur formatées en XML sur la base de la DTD Core Foundation d'Apple. Les fichiers plist peuvent être enregistrés au format texte ou binaire.</t>
  </si>
  <si>
    <t>Les pirates peuvent exploiter des formats de fichiers spécifiques pour contourner les contrôles Mark-of-the-Web (MOTW). Sous Windows, lorsque des fichiers sont téléchargés depuis Internet, ils sont marqués d'un flux de données alternatif NTFS (ADS) caché portant Zone.Identifierune valeur spécifique appelée MOTW. Les fichiers marqués MOTW sont protégés et ne peuvent pas effectuer certaines actions. Par exemple, à partir de MS Office 10, si un fichier MS Office porte le MOTW, il s'ouvre en mode protégé. Les exécutables marqués MOTW sont traités par Windows Defender SmartScreen qui compare les fichiers à une liste d'exécutables connus. Si le fichier n'est pas connu/approuvé, SmartScreen empêche l'exécution et avertit l'utilisateur de ne pas l'exécuter.</t>
  </si>
  <si>
    <t>Les adversaires peuvent utiliser InstallUtil pour exécuter du code via un utilitaire Windows de confiance. InstallUtil est un utilitaire de ligne de commande qui permet l'installation et la désinstallation de ressources en exécutant des composants d'installation spécifiques spécifiés dans les binaires .NET. Le binaire InstallUtil peut également être signé numériquement par Microsoft et situé dans les répertoires .NET sur un système Windows : et . C:\Windows\Microsoft.NET\Framework\v\InstallUtil.exeC:\Windows\Microsoft.NET\Framework64\v\InstallUtil.exe</t>
  </si>
  <si>
    <t>Les adversaires peuvent utiliser PubPrn pour exécuter par proxy des fichiers distants malveillants. PubPrn.vbs est un script Visual Basic qui publie une imprimante sur les services de domaine Active Directory. Le script peut être signé par Microsoft et est généralement exécuté via l' interpréteur de commandes Windows via Cscript.exe. Par exemple, le code suivant publie une imprimante dans le domaine spécifié : cscript pubprn Printer1 LDAP://CN=Container1,DC=Domain1,DC=Com.</t>
  </si>
  <si>
    <t>Les adversaires peuvent tenter de se positionner entre deux ou plusieurs appareils en réseau en utilisant une technique d'adversaire intermédiaire (AiTM) pour prendre en charge des comportements de suivi tels que le reniflage de réseau , la manipulation de données transmises ou les attaques par relecture ( exploitation pour l'accès aux informations d'identification ). En abusant des fonctionnalités des protocoles réseau courants qui peuvent déterminer le flux du trafic réseau (par exemple ARP, DNS, LLMNR, etc.), les adversaires peuvent forcer un appareil à communiquer via un système contrôlé par l'adversaire afin de pouvoir collecter des informations ou effectuer des actions supplémentaires.</t>
  </si>
  <si>
    <t>Les adversaires peuvent empoisonner les caches du protocole ARP (Address Resolution Protocol) pour se positionner entre les communications de deux ou plusieurs périphériques en réseau. Cette activité peut être utilisée pour activer des comportements ultérieurs tels que le reniflage réseau ou la manipulation des données transmises .</t>
  </si>
  <si>
    <t>Les adversaires peuvent rediriger le trafic réseau vers des systèmes appartenant à des adversaires en usurpant le trafic DHCP (Dynamic Host Configuration Protocol) et en agissant comme un serveur DHCP malveillant sur le réseau de la victime. En obtenant la position d'adversaire intermédiaire (AiTM), les adversaires peuvent collecter les communications réseau, y compris les informations d'identification transmises, en particulier celles envoyées via des protocoles non sécurisés et non chiffrés. Cela peut également permettre des comportements ultérieurs tels que le reniflage réseau ou la manipulation des données transmises .</t>
  </si>
  <si>
    <t>Les adversaires peuvent héberger des points d'accès Wi-Fi apparemment authentiques pour tromper les utilisateurs et les amener à se connecter à des réseaux malveillants afin de prendre en charge des comportements ultérieurs tels que le reniflage de réseau , la manipulation de données transmises ou la capture d'entrée .</t>
  </si>
  <si>
    <t>Les adversaires peuvent utiliser le craquage de mots de passe pour tenter de récupérer des informations d'identification utilisables, telles que des mots de passe en texte clair, lorsque des éléments d'identification tels que des hachages de mots de passe sont obtenus. Le vidage des informations d'identification du système d'exploitation peut être utilisé pour obtenir des hachages de mots de passe, mais cela ne peut mener un adversaire que jusqu'à un certain point lorsque la transmission du hachage n'est pas une option. En outre, les adversaires peuvent exploiter les données du référentiel de configuration afin d'obtenir des informations d'identification hachées pour les périphériques réseau.</t>
  </si>
  <si>
    <t>Un adversaire disposant d'un accès root peut recueillir des informations d'identification en lisant securitydla mémoire de . securitydest un service/démon responsable de la mise en œuvre de protocoles de sécurité tels que le chiffrement et l'autorisation. Un adversaire privilégié peut être en mesure de parcourir securitydla mémoire de pour trouver la séquence correcte de clés permettant de déchiffrer le trousseau de clés de connexion de l'utilisateur. Cela peut fournir à l'adversaire divers mots de passe en texte clair, tels que ceux des utilisateurs, du Wi-Fi, de la messagerie, des navigateurs, des certificats, des notes sécurisées, etc.</t>
  </si>
  <si>
    <t>Un adversaire peut falsifier des jetons SAML avec des revendications d'autorisation et des durées de vie s'il possède un certificat de signature de jeton SAML valide. La durée de vie par défaut d'un jeton SAML est d'une heure, mais la période de validité peut être spécifiée dans la NotOnOrAftervaleur de l' conditions ...élément d'un jeton. Cette valeur peut être modifiée à l'aide de l'élément AccessTokenLifetimedans un LifetimeTokenPolicy. Les jetons SAML falsifiés permettent aux adversaires de s'authentifier sur les services qui utilisent SAML 2.0 comme mécanisme d'authentification unique (SSO).</t>
  </si>
  <si>
    <t>Les adversaires peuvent utiliser des méthodes de capture des entrées utilisateur pour obtenir des informations d'identification ou collecter des informations. Lors d'une utilisation normale du système, les utilisateurs fournissent souvent des informations d'identification à différents emplacements, tels que des pages/portails de connexion ou des boîtes de dialogue système. Les mécanismes de capture des entrées peuvent être transparents pour l'utilisateur (par exemple, Credential API Hooking ) ou consister à tromper l'utilisateur pour qu'il fournisse des informations dans ce qu'il croit être un service authentique (par exemple, Web Portal Capture ).</t>
  </si>
  <si>
    <t>Les adversaires peuvent tenter d'accéder aux informations d'identification stockées dans la mémoire de processus du service de sous-système de l'autorité de sécurité locale (LSASS). Une fois qu'un utilisateur se connecte, le système génère et stocke divers éléments d'identification dans la mémoire de processus LSASS. Ces éléments d'identification peuvent être collectés par un utilisateur administratif ou SYSTEM et utilisés pour effectuer un mouvement latéral à l'aide de l'option Use Alternate Authentication Material .</t>
  </si>
  <si>
    <t>Les adversaires peuvent tenter d'extraire des informations d'identification de la base de données Security Account Manager (SAM) soit par des techniques en mémoire, soit par le biais du registre Windows où la base de données SAM est stockée. Le SAM est un fichier de base de données qui contient les comptes locaux de l'hôte, généralement ceux trouvés avec la net usercommande. L'énumération de la base de données SAM nécessite un accès de niveau SYSTÈME.</t>
  </si>
  <si>
    <t>Les adversaires peuvent tenter d'accéder à la base de données du domaine Active Directory ou d'en créer une copie afin de voler des informations d'identification, ainsi que d'obtenir d'autres informations sur les membres du domaine, telles que les périphériques, les utilisateurs et les droits d'accès. Par défaut, le fichier NTDS (NTDS.dit) se trouve dans %SystemRoot%\NTDS\Ntds.ditun contrôleur de domaine.</t>
  </si>
  <si>
    <t>Les adversaires disposant d'un accès SYSTEM à un hôte peuvent tenter d'accéder aux secrets de l'autorité de sécurité locale (LSA), qui peuvent contenir une variété de documents d'identification différents, tels que les informations d'identification des comptes de service. Les secrets LSA sont stockés dans le registre à l'adresse HKEY_LOCAL_MACHINE\SECURITY\Policy\Secrets. Les secrets LSA peuvent également être vidés de la mémoire.</t>
  </si>
  <si>
    <t>Les adversaires peuvent recueillir des informations d'identification à partir du système de fichiers proc ou /proc. Le système de fichiers proc est un pseudo-système de fichiers utilisé comme interface pour les structures de données du noyau pour les systèmes basés sur Linux gérant la mémoire virtuelle. Pour chaque processus, le /proc/&lt;PID&gt;/mapsfichier montre comment la mémoire est mappée dans l'espace d'adressage virtuel du processus. Et /proc/&lt;PID&gt;/mem, exposé à des fins de débogage, donne accès à l'espace d'adressage virtuel du processus.</t>
  </si>
  <si>
    <t>Les adversaires peuvent tenter de vider le contenu de /etc/passwdet /etc/shadowpour permettre le craquage de mot de passe hors ligne. La plupart des systèmes d'exploitation Linux modernes utilisent une combinaison de /etc/passwdet /etc/shadowpour stocker les informations de compte utilisateur, y compris les hachages de mot de passe dans /etc/shadow. Par défaut, /etc/shadown'est lisible que par l'utilisateur root.</t>
  </si>
  <si>
    <t>Les adversaires peuvent rechercher des systèmes compromis pour trouver et obtenir des informations d'identification stockées de manière non sécurisée. Ces informations d'identification peuvent être stockées et/ou égarées à de nombreux endroits sur un système, notamment dans des fichiers en texte brut (par exemple, l' historique Bash ), dans des référentiels spécifiques au système d'exploitation ou à l'application (par exemple, les informations d'identification dans le registre ) ou dans d'autres fichiers/artefacts spécialisés (par exemple, les clés privées ).</t>
  </si>
  <si>
    <t>Les adversaires peuvent rechercher dans l'historique des commandes bash des systèmes compromis des informations d'identification stockées de manière non sécurisée. Bash garde une trace des commandes que les utilisateurs tapent sur la ligne de commande avec l'utilitaire « history ». Une fois qu'un utilisateur se déconnecte, l'historique est vidé dans le .bash_historyfichier de l'utilisateur. Pour chaque utilisateur, ce fichier réside au même emplacement : ~/.bash_history. En général, ce fichier garde une trace des 500 dernières commandes de l'utilisateur. Les utilisateurs tapent souvent des noms d'utilisateur et des mots de passe sur la ligne de commande en tant que paramètres des programmes, qui sont ensuite enregistrés dans ce fichier lorsqu'ils se déconnectent. Les adversaires peuvent en abuser en parcourant le fichier à la recherche d'informations d'identification potentielles.</t>
  </si>
  <si>
    <t>Les adversaires peuvent énumérer les objets dans l'infrastructure de stockage cloud. Ils peuvent utiliser ces informations lors de la découverte automatisée pour façonner les comportements de suivi, notamment la demande de tous les objets ou de certains objets spécifiques du stockage cloud. Comme pour la découverte de fichiers et de répertoires sur un hôte local, après avoir identifié les services de stockage disponibles (c'est-à-dire la découverte de l'infrastructure cloud ), les adversaires peuvent accéder au contenu/aux objets stockés dans l'infrastructure cloud.</t>
  </si>
  <si>
    <t>Les adversaires peuvent tenter d'énumérer les pilotes de périphériques locaux sur un hôte victime. Les informations sur les pilotes de périphériques peuvent mettre en évidence diverses informations qui façonnent les comportements ultérieurs, tels que la fonction/l'objectif de l'hôte, les outils de sécurité actuels (par exemple, la découverte de logiciels de sécurité ) ou d'autres défenses (par exemple, l'évasion de la virtualisation/du bac à sable ), ainsi que les vulnérabilités potentiellement exploitables (par exemple, l'exploitation pour l'escalade des privilèges ).</t>
  </si>
  <si>
    <t>Les adversaires peuvent tenter de recueillir des informations sur les relations d'approbation de domaine qui peuvent être utilisées pour identifier les opportunités de mouvement latéral dans les environnements multidomaines/forêts Windows. Les approbations de domaine fournissent un mécanisme permettant à un domaine d'autoriser l'accès aux ressources en fonction des procédures d'authentification d'un autre domaine. Les approbations de domaine permettent aux utilisateurs du domaine approuvé d'accéder aux ressources du domaine d'approbation. Les informations découvertes peuvent aider l'adversaire à effectuer des opérations d'injection d'historique SID , de transmission de ticket et de Kerberoasting . Les approbations de domaine peuvent être énumérées à l'aide de l' DSEnumerateDomainTrusts()appel d'API Win32, des méthodes .NET et de LDAP. L'utilitaire Windows Nltest est connu pour être utilisé par les adversaires pour énumérer les approbations de domaine.</t>
  </si>
  <si>
    <t>Les adversaires peuvent recueillir des informations sur les paramètres de stratégie de groupe pour identifier les chemins d'escalade des privilèges, les mesures de sécurité appliquées au sein d'un domaine et pour découvrir des modèles dans les objets de domaine qui peuvent être manipulés ou utilisés pour se fondre dans l'environnement. La stratégie de groupe permet une gestion centralisée des paramètres utilisateur et ordinateur dans Active Directory (AD). Les objets de stratégie de groupe (GPO) sont des conteneurs pour les paramètres de stratégie de groupe constitués de fichiers stockés dans un chemin réseau prévisible \&lt;DOMAIN&gt;\SYSVOL\&lt;DOMAIN&gt;\Policies\.</t>
  </si>
  <si>
    <t>Les adversaires peuvent énumérer les journaux système et de service pour trouver des données utiles. Ces journaux peuvent mettre en évidence différents types d'informations utiles pour un adversaire, telles que les enregistrements d'authentification des utilisateurs ( Account Discovery ), les logiciels de sécurité ou vulnérables ( Software Discovery ) ou les hôtes au sein d'un réseau compromis ( Remote System Discovery ).</t>
  </si>
  <si>
    <t>Les adversaires peuvent tenter d'obtenir une liste d'autres systèmes par adresse IP, nom d'hôte ou autre identifiant logique sur un réseau qui peut être utilisé pour le mouvement latéral à partir du système actuel. Des fonctionnalités peuvent exister dans les outils d'accès à distance pour permettre cela, mais des utilitaires disponibles sur le système d'exploitation peuvent également être utilisés, tels que Ping ou net viewl'utilisation de Net .</t>
  </si>
  <si>
    <t>Les adversaires peuvent rechercher des détails sur la configuration et les paramètres du réseau, tels que les adresses IP et/ou MAC, des systèmes auxquels ils accèdent ou via la découverte d'informations sur les systèmes distants. Il existe plusieurs utilitaires d'administration de système d'exploitation qui peuvent être utilisés pour recueillir ces informations. Les exemples incluent Arp , ipconfig / ifconfig , nbtstat et route .</t>
  </si>
  <si>
    <t>Les adversaires peuvent rechercher des informations sur les réseaux Wi-Fi, telles que les noms et les mots de passe des réseaux, sur les systèmes compromis. Les adversaires peuvent utiliser les informations Wi-Fi dans le cadre de la découverte de comptes , de la découverte de systèmes à distance et d'autres activités de découverte ou d'accès aux informations d'identification pour soutenir les campagnes en cours et futures.</t>
  </si>
  <si>
    <t>Les adversaires peuvent tenter d'identifier l'utilisateur principal, l'utilisateur actuellement connecté, l'ensemble des utilisateurs qui utilisent couramment un système ou si un utilisateur utilise activement le système. Ils peuvent le faire, par exemple, en récupérant les noms d'utilisateur des comptes ou en utilisant le vidage des informations d'identification du système d' exploitation. Les informations peuvent être collectées de différentes manières à l'aide d'autres techniques de découverte, car les détails de l'utilisateur et du nom d'utilisateur sont répandus dans tout un système et incluent la propriété du processus en cours d'exécution, la propriété du fichier/répertoire, les informations de session et les journaux système. Les adversaires peuvent utiliser les informations de la découverte du propriétaire du système/de l'utilisateur lors de la découverte automatisée pour façonner les comportements de suivi, notamment si l'adversaire infecte ou non complètement la cible et/ou tente des actions spécifiques.</t>
  </si>
  <si>
    <t>Les adversaires peuvent tenter de recueillir des informations sur les services système locaux enregistrés. Les adversaires peuvent obtenir des informations sur les services à l'aide d'outils ainsi que de commandes utilitaires du système d'exploitation telles que sc query, tasklist /svc, systemctl --type=serviceet net start.</t>
  </si>
  <si>
    <t>Un adversaire peut collecter l'heure système et/ou les paramètres de fuseau horaire à partir d'un système local ou distant. L'heure système est définie et stockée par des services, tels que le service de temps Windows sur Windows ou systemsetupsur macOS. Ces paramètres d'heure peuvent également être synchronisés entre les systèmes et les services d'un réseau d'entreprise, généralement avec un serveur de temps réseau au sein d'un domaine.</t>
  </si>
  <si>
    <t>Les adversaires peuvent exploiter des comptes valides pour se connecter directement à l'infrastructure de calcul hébergée dans le cloud accessible via des méthodes natives du cloud. De nombreux fournisseurs de cloud proposent des connexions interactives à l'infrastructure virtuelle accessible via l' API Cloud , comme Azure Serial Console, AWS EC2 Instance Connect et AWS System Manager.</t>
  </si>
  <si>
    <t>Les adversaires peuvent organiser les données collectées dans un emplacement central ou un répertoire avant l'exfiltration. Les données peuvent être conservées dans des fichiers séparés ou combinées en un seul fichier grâce à des techniques telles que l'archivage des données collectées . Des shells de commande interactifs peuvent être utilisés et des fonctionnalités communes dans cmd et bash peuvent être utilisées pour copier les données dans un emplacement de préparation.</t>
  </si>
  <si>
    <t>Les adversaires peuvent organiser les données collectées dans un emplacement central ou un répertoire sur le système local avant l'exfiltration. Les données peuvent être conservées dans des fichiers séparés ou combinées en un seul fichier grâce à des techniques telles que l'archivage des données collectées . Des shells de commande interactifs peuvent être utilisés et des fonctionnalités communes dans cmd et bash peuvent être utilisées pour copier les données dans un emplacement de préparation.</t>
  </si>
  <si>
    <t>Les adversaires peuvent organiser les données collectées à partir de plusieurs systèmes dans un emplacement central ou un répertoire sur un système avant l'exfiltration. Les données peuvent être conservées dans des fichiers séparés ou combinées en un seul fichier grâce à des techniques telles que l'archivage des données collectées . Des shells de commande interactifs peuvent être utilisés et des fonctionnalités communes dans cmd et bash peuvent être utilisées pour copier les données dans un emplacement de préparation.</t>
  </si>
  <si>
    <t>Les adversaires peuvent tenter de prendre des captures d'écran du bureau pour recueillir des informations au cours d'une opération. La fonctionnalité de capture d'écran peut être incluse comme fonctionnalité d'un outil d'accès à distance utilisé dans les opérations post-compromission. La prise d'une capture d'écran est également généralement possible via des utilitaires natifs ou des appels d'API, tels que CopyFromScreen, xwd, ou screencapture.</t>
  </si>
  <si>
    <t>Les adversaires peuvent transférer des outils ou d'autres fichiers d'un système externe vers un environnement compromis. Les outils ou les fichiers peuvent être copiés d'un système externe contrôlé par un adversaire vers le réseau de la victime via le canal de commande et de contrôle ou via des protocoles alternatifs tels que ftp . Une fois présents, les adversaires peuvent également transférer/diffuser des outils entre les appareils des victimes au sein d'un environnement compromis (c'est-à-dire le transfert latéral d'outils ).</t>
  </si>
  <si>
    <t>Un adversaire peut utiliser des logiciels d'assistance technique et d'accès à distance légitimes pour établir un canal de commande et de contrôle interactif pour cibler les systèmes au sein des réseaux. Ces services, tels que VNC, Team Viewer, AnyDesk, ScreenConnect, LogMein, AmmyyAdmin, et d'autres outils de surveillance et de gestion à distance (RMM), sont couramment utilisés comme logiciels d'assistance technique légitimes et peuvent être autorisés par le contrôle des applications dans un environnement cible.</t>
  </si>
  <si>
    <t>Les adversaires peuvent exfiltrer des données vers des sites de stockage de texte au lieu de leur canal de commande et de contrôle principal. Les sites de stockage de texte, tels que pastebin[.]com, sont couramment utilisés par les développeurs pour partager du code et d'autres informations.</t>
  </si>
  <si>
    <t>Les adversaires peuvent exfiltrer des données vers un point de terminaison webhook plutôt que via leur canal de commande et de contrôle principal. Les webhooks sont des mécanismes simples permettant à un serveur de transmettre des données via HTTP/S à un client sans que le client ait besoin d'interroger en permanence le serveur. De nombreux services publics et commerciaux, tels que Discord, Slack et webhook.site, prennent en charge la création de points de terminaison webhook qui peuvent être utilisés par d'autres services, tels que Github, Jira ou Trello. Lorsque des modifications se produisent dans les services liés (comme l'envoi d'une mise à jour du référentiel ou la modification d'un ticket), ces services publient automatiquement les données sur le point de terminaison webhook pour qu'elles soient utilisées par l'application consommatrice.</t>
  </si>
  <si>
    <t>Les adversaires peuvent détruire des données et des fichiers sur des systèmes spécifiques ou en grand nombre sur un réseau pour interrompre la disponibilité des systèmes, des services et des ressources réseau. La destruction des données est susceptible de rendre les données stockées irrécupérables par des techniques d'analyse par écrasement de fichiers ou de données sur des lecteurs locaux et distants. Les commandes courantes de suppression de fichiers du système d'exploitation telles que delet rmsuppriment souvent uniquement les pointeurs vers les fichiers sans effacer le contenu des fichiers eux-mêmes, ce qui rend les fichiers récupérables par une méthodologie d'analyse appropriée. Ce comportement est différent de l'effacement du contenu du disque et de l'effacement de la structure du disque car les fichiers individuels sont détruits plutôt que des sections d'un disque de stockage ou la structure logique du disque.</t>
  </si>
  <si>
    <t>Les adversaires peuvent modifier le contenu visuel disponible en interne ou en externe sur un réseau d'entreprise, affectant ainsi l'intégrité du contenu d'origine. Les motifs de dégradation peuvent inclure la diffusion de messages, l'intimidation ou la revendication (éventuellement fausse) de crédit pour une intrusion. Des images dérangeantes ou offensantes peuvent être utilisées dans le cadre de la dégradation afin de provoquer un malaise chez l'utilisateur ou de faire pression pour qu'il se conforme aux messages d'accompagnement.</t>
  </si>
  <si>
    <t>Un adversaire peut défigurer des systèmes externes à une organisation dans le but de transmettre des messages, d'intimider ou de tromper une organisation ou des utilisateurs. La défiguration externe peut finalement amener les utilisateurs à se méfier des systèmes et à remettre en question/discréditer l'intégrité du système. Les sites Web externes sont souvent victimes de défiguration ; ils sont souvent ciblés par des groupes d'adversaires et d'hacktivistes afin de faire passer un message politique ou de diffuser de la propagande. La défiguration externe peut être utilisée comme catalyseur pour déclencher des événements ou comme réponse à des actions entreprises par une organisation ou un gouvernement. De même, la défiguration d'un site Web peut également être utilisée comme préparation ou précurseur pour de futures attaques telles que Drive-by Compromise .</t>
  </si>
  <si>
    <t>Famille de technique</t>
  </si>
  <si>
    <t>Nom de technique (FR)</t>
  </si>
  <si>
    <t>NA</t>
  </si>
  <si>
    <t>Id</t>
  </si>
  <si>
    <t>Avez-vous mis en place un dispositif pour contrer l'attaque ?</t>
  </si>
  <si>
    <t>Justification si besoin</t>
  </si>
  <si>
    <t>Oui</t>
  </si>
  <si>
    <t>Non</t>
  </si>
  <si>
    <t>Non-Concerné</t>
  </si>
  <si>
    <t>Description de l'attaque</t>
  </si>
  <si>
    <t>ne rien inscrire ici</t>
  </si>
  <si>
    <t>Total général /
852</t>
  </si>
  <si>
    <t>SCORE GENERAL % CONFORME</t>
  </si>
  <si>
    <t>Ratio de conformité %</t>
  </si>
  <si>
    <t>Tactiques d'entreprise</t>
  </si>
  <si>
    <t>MITRE ATT&amp;CK® est une base de connaissances accessible à l’échelle mondiale sur les tactiques et techniques adverses basées sur des observations du monde réel. 
La base de connaissances ATT&amp;CK sert de base au développement de modèles et de méthodologies de menaces spécifiques dans le secteur privé, au sein du gouvernement et dans la communauté des produits et services de cybersécurité.</t>
  </si>
  <si>
    <t>Avec la création d'ATT&amp;CK, MITRE remplit sa mission de résoudre les problèmes pour un monde plus sûr en rassemblant les communautés pour développer une cybersécurité plus efficace.
ATT&amp;CK est ouvert et accessible à toute personne ou organisation pour une utilisation gratuite.</t>
  </si>
  <si>
    <t>Les tactiques représentent le « pourquoi » d’une technique ou sous-technique ATT&amp;CK. C'est le but tactique de l'adversaire : la raison pour laquelle il accomplit une action.</t>
  </si>
  <si>
    <t>COMMENCER</t>
  </si>
  <si>
    <t>Avant de vous lancer</t>
  </si>
  <si>
    <t>ID</t>
  </si>
  <si>
    <t>Nom</t>
  </si>
  <si>
    <t>TA0043</t>
  </si>
  <si>
    <t>L'adversaire tente de collecter des informations pour planifier ses futures opérations.</t>
  </si>
  <si>
    <t>TA0042</t>
  </si>
  <si>
    <t>Développement de ressources</t>
  </si>
  <si>
    <t>L'adversaire tente de mettre en place des ressources pour soutenir ses opérations.</t>
  </si>
  <si>
    <t>TA0001</t>
  </si>
  <si>
    <t>L'adversaire tente de pénétrer votre réseau.</t>
  </si>
  <si>
    <t>TA0002</t>
  </si>
  <si>
    <t>L'adversaire tente d'exécuter du code malveillant.</t>
  </si>
  <si>
    <t>TA0003</t>
  </si>
  <si>
    <t>L'adversaire tente de maintenir son accès.</t>
  </si>
  <si>
    <t>TA0004</t>
  </si>
  <si>
    <t>Élévation de privilèges</t>
  </si>
  <si>
    <t>L'adversaire tente d'obtenir des permissions de niveau supérieur.</t>
  </si>
  <si>
    <t>TA0005</t>
  </si>
  <si>
    <t>Évasion de la détection</t>
  </si>
  <si>
    <t>L'adversaire tente d'éviter d'être détecté.</t>
  </si>
  <si>
    <t>TA0006</t>
  </si>
  <si>
    <t>L'adversaire tente de voler des noms de comptes et des mots de passe.</t>
  </si>
  <si>
    <t>TA0007</t>
  </si>
  <si>
    <t>L'adversaire tente de comprendre votre environnement.</t>
  </si>
  <si>
    <t>TA0008</t>
  </si>
  <si>
    <t>L'adversaire tente de se déplacer dans votre environnement.</t>
  </si>
  <si>
    <t>TA0009</t>
  </si>
  <si>
    <t>Collecte</t>
  </si>
  <si>
    <t>L'adversaire tente de recueillir des données utiles à son objectif.</t>
  </si>
  <si>
    <t>TA0011</t>
  </si>
  <si>
    <t>L'adversaire tente de communiquer avec des systèmes compromis pour les contrôler.</t>
  </si>
  <si>
    <t>TA0010</t>
  </si>
  <si>
    <t>L'adversaire tente de voler des données.</t>
  </si>
  <si>
    <t>TA0040</t>
  </si>
  <si>
    <t>L'adversaire tente de manipuler, perturber ou détruire vos systèmes et données.</t>
  </si>
  <si>
    <t>Ce document à pour vocation de vous aider à vous auto-évaluer sur le référentiel tactique de MITRE ATT&amp;CK</t>
  </si>
  <si>
    <t>Matrice ATT&amp;CK pour entreprise</t>
  </si>
  <si>
    <t>ex : "Nous surveillons également les données susceptibles d'être rendues publiques afin de limiter les informations exploitables par des acteurs malveillants."</t>
  </si>
  <si>
    <t>ex : "Nous surveillons activement l'utilisation et l'exposition de nos adresses IP publiques afin de limiter les informations accessibles aux acteurs malveillants et de réduire les risques liés à la collecte de ces données."
aussi nous scannons les vulnérabilités sur ces points d'entrées</t>
  </si>
  <si>
    <t>ex : "Nous surveillons régulièrement les informations publiées sur nos sites web afin de contrôler les données exposées et de limiter celles pouvant être exploitées par des acteurs malveillants. De plus, des actions de sensibilisation sont menées auprès des équipes pour assurer une publication responsable des informations en ligne."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</si>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</sst>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sz val="12"/>
      <name val="Aptos Display"/>
      <family val="2"/>
      <scheme val="major"/>
    </font>
    <font>
      <sz val="12"/>
      <name val="Aptos Display"/>
      <family val="2"/>
      <scheme val="major"/>
    </font>
    <font>
      <b/>
      <i/>
      <sz val="12"/>
      <color theme="0"/>
      <name val="Aptos Display"/>
      <family val="2"/>
      <scheme val="major"/>
    </font>
    <font>
      <sz val="12"/>
      <name val="Aptos Narrow"/>
      <family val="2"/>
      <scheme val="minor"/>
    </font>
    <font>
      <sz val="12"/>
      <color theme="0"/>
      <name val="Aptos Display"/>
      <family val="2"/>
      <scheme val="major"/>
    </font>
    <font>
      <sz val="12"/>
      <color theme="0"/>
      <name val="Aptos Narrow"/>
      <family val="2"/>
      <scheme val="minor"/>
    </font>
    <font>
      <b/>
      <sz val="12"/>
      <color theme="1"/>
      <name val="Aptos Narrow"/>
      <family val="2"/>
      <scheme val="minor"/>
    </font>
    <font>
      <b/>
      <sz val="12"/>
      <color theme="1"/>
      <name val="Arial Unicode MS"/>
    </font>
    <font>
      <b/>
      <sz val="12"/>
      <color theme="0"/>
      <name val="Aptos Narrow"/>
      <family val="2"/>
      <scheme val="minor"/>
    </font>
    <font>
      <b/>
      <sz val="12"/>
      <color theme="0"/>
      <name val="Arial Unicode MS"/>
    </font>
    <font>
      <b/>
      <i/>
      <sz val="12"/>
      <name val="Aptos Display"/>
      <family val="2"/>
      <scheme val="major"/>
    </font>
    <font>
      <b/>
      <sz val="48"/>
      <color theme="3" tint="0.249977111117893"/>
      <name val="Aptos Display"/>
      <family val="2"/>
      <scheme val="major"/>
    </font>
    <font>
      <b/>
      <sz val="12"/>
      <color theme="0"/>
      <name val="Aptos Display"/>
      <family val="2"/>
      <scheme val="major"/>
    </font>
    <font>
      <sz val="12"/>
      <color theme="1"/>
      <name val="Aptos Display"/>
      <family val="2"/>
      <scheme val="major"/>
    </font>
    <font>
      <b/>
      <sz val="12"/>
      <color theme="1"/>
      <name val="Aptos Display"/>
      <family val="2"/>
      <scheme val="major"/>
    </font>
    <font>
      <i/>
      <sz val="12"/>
      <color theme="1"/>
      <name val="Aptos Display"/>
      <family val="2"/>
      <scheme val="major"/>
    </font>
    <font>
      <b/>
      <sz val="12"/>
      <color rgb="FFC00000"/>
      <name val="Aptos Display"/>
      <family val="2"/>
      <scheme val="major"/>
    </font>
    <font>
      <sz val="51"/>
      <color rgb="FFC00000"/>
      <name val="Segoe UI Emoji"/>
      <family val="2"/>
    </font>
  </fonts>
  <fills count="23">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1"/>
        <bgColor indexed="64"/>
      </patternFill>
    </fill>
    <fill>
      <patternFill patternType="solid">
        <fgColor theme="5" tint="0.59999389629810485"/>
        <bgColor indexed="64"/>
      </patternFill>
    </fill>
    <fill>
      <patternFill patternType="solid">
        <fgColor rgb="FF92D050"/>
        <bgColor indexed="64"/>
      </patternFill>
    </fill>
    <fill>
      <patternFill patternType="solid">
        <fgColor theme="0"/>
        <bgColor indexed="64"/>
      </patternFill>
    </fill>
    <fill>
      <patternFill patternType="solid">
        <fgColor rgb="FFFF6347"/>
        <bgColor indexed="64"/>
      </patternFill>
    </fill>
    <fill>
      <patternFill patternType="solid">
        <fgColor rgb="FF4169E1"/>
        <bgColor indexed="64"/>
      </patternFill>
    </fill>
    <fill>
      <patternFill patternType="solid">
        <fgColor rgb="FF228B22"/>
        <bgColor indexed="64"/>
      </patternFill>
    </fill>
    <fill>
      <patternFill patternType="solid">
        <fgColor rgb="FFFF8C00"/>
        <bgColor indexed="64"/>
      </patternFill>
    </fill>
    <fill>
      <patternFill patternType="solid">
        <fgColor rgb="FF9370DB"/>
        <bgColor indexed="64"/>
      </patternFill>
    </fill>
    <fill>
      <patternFill patternType="solid">
        <fgColor rgb="FF40E0D0"/>
        <bgColor indexed="64"/>
      </patternFill>
    </fill>
    <fill>
      <patternFill patternType="solid">
        <fgColor rgb="FFFFD700"/>
        <bgColor indexed="64"/>
      </patternFill>
    </fill>
    <fill>
      <patternFill patternType="solid">
        <fgColor rgb="FF008B8B"/>
        <bgColor indexed="64"/>
      </patternFill>
    </fill>
    <fill>
      <patternFill patternType="solid">
        <fgColor rgb="FFFF1493"/>
        <bgColor indexed="64"/>
      </patternFill>
    </fill>
    <fill>
      <patternFill patternType="solid">
        <fgColor rgb="FF808000"/>
        <bgColor indexed="64"/>
      </patternFill>
    </fill>
    <fill>
      <patternFill patternType="solid">
        <fgColor rgb="FF87CEFA"/>
        <bgColor indexed="64"/>
      </patternFill>
    </fill>
    <fill>
      <patternFill patternType="solid">
        <fgColor rgb="FFFF7F50"/>
        <bgColor indexed="64"/>
      </patternFill>
    </fill>
    <fill>
      <patternFill patternType="solid">
        <fgColor rgb="FF4B0082"/>
        <bgColor indexed="64"/>
      </patternFill>
    </fill>
    <fill>
      <patternFill patternType="solid">
        <fgColor rgb="FFD2691E"/>
        <bgColor indexed="64"/>
      </patternFill>
    </fill>
  </fills>
  <borders count="34">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bottom style="medium">
        <color auto="1"/>
      </bottom>
      <diagonal/>
    </border>
    <border>
      <left/>
      <right/>
      <top/>
      <bottom style="medium">
        <color auto="1"/>
      </bottom>
      <diagonal/>
    </border>
    <border>
      <left style="medium">
        <color auto="1"/>
      </left>
      <right style="medium">
        <color auto="1"/>
      </right>
      <top/>
      <bottom/>
      <diagonal/>
    </border>
    <border>
      <left/>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style="medium">
        <color auto="1"/>
      </top>
      <bottom/>
      <diagonal/>
    </border>
    <border>
      <left style="thin">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s>
  <cellStyleXfs count="2">
    <xf numFmtId="0" fontId="0" fillId="0" borderId="0"/>
    <xf numFmtId="0" fontId="3" fillId="0" borderId="0" applyNumberFormat="0" applyFill="0" applyBorder="0" applyAlignment="0" applyProtection="0"/>
  </cellStyleXfs>
  <cellXfs count="165">
    <xf numFmtId="0" fontId="0" fillId="0" borderId="0" xfId="0"/>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left" vertical="top" wrapText="1"/>
    </xf>
    <xf numFmtId="0" fontId="6" fillId="5" borderId="3" xfId="0" applyFont="1" applyFill="1" applyBorder="1" applyAlignment="1">
      <alignment horizontal="left" vertical="top" wrapText="1"/>
    </xf>
    <xf numFmtId="0" fontId="6" fillId="5" borderId="4" xfId="0" applyFont="1" applyFill="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5" fillId="0" borderId="5" xfId="0" applyFont="1" applyBorder="1" applyAlignment="1">
      <alignment horizontal="left" vertical="top" wrapText="1"/>
    </xf>
    <xf numFmtId="0" fontId="4" fillId="6" borderId="4" xfId="0" applyFont="1" applyFill="1" applyBorder="1" applyAlignment="1">
      <alignment horizontal="center" vertical="center" wrapText="1"/>
    </xf>
    <xf numFmtId="0" fontId="0" fillId="0" borderId="0" xfId="0" applyAlignment="1">
      <alignment vertical="center" wrapText="1"/>
    </xf>
    <xf numFmtId="0" fontId="4" fillId="0" borderId="4" xfId="0" applyFont="1" applyBorder="1" applyAlignment="1">
      <alignment horizontal="left" vertical="top"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7" fillId="9" borderId="4" xfId="0" applyFont="1" applyFill="1" applyBorder="1" applyAlignment="1">
      <alignment horizontal="left" vertical="top" wrapText="1"/>
    </xf>
    <xf numFmtId="0" fontId="8" fillId="10" borderId="3" xfId="0" applyFont="1" applyFill="1" applyBorder="1" applyAlignment="1">
      <alignment horizontal="left" vertical="top" wrapText="1"/>
    </xf>
    <xf numFmtId="0" fontId="8" fillId="10" borderId="4" xfId="0" applyFont="1" applyFill="1" applyBorder="1" applyAlignment="1">
      <alignment horizontal="left" vertical="top" wrapText="1"/>
    </xf>
    <xf numFmtId="0" fontId="9" fillId="10" borderId="4" xfId="0" applyFont="1" applyFill="1" applyBorder="1" applyAlignment="1">
      <alignment horizontal="left" vertical="top" wrapText="1"/>
    </xf>
    <xf numFmtId="0" fontId="5" fillId="11" borderId="3" xfId="0" applyFont="1" applyFill="1" applyBorder="1" applyAlignment="1">
      <alignment horizontal="left" vertical="top" wrapText="1"/>
    </xf>
    <xf numFmtId="0" fontId="5" fillId="12" borderId="3" xfId="0" applyFont="1" applyFill="1" applyBorder="1" applyAlignment="1">
      <alignment horizontal="left" vertical="top" wrapText="1"/>
    </xf>
    <xf numFmtId="0" fontId="5" fillId="12"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8" fillId="13" borderId="3" xfId="0" applyFont="1" applyFill="1" applyBorder="1" applyAlignment="1">
      <alignment horizontal="left" vertical="top" wrapText="1"/>
    </xf>
    <xf numFmtId="0" fontId="8" fillId="13" borderId="4" xfId="0" applyFont="1" applyFill="1" applyBorder="1" applyAlignment="1">
      <alignment horizontal="left" vertical="top" wrapText="1"/>
    </xf>
    <xf numFmtId="0" fontId="9" fillId="13" borderId="4" xfId="0" applyFont="1" applyFill="1" applyBorder="1" applyAlignment="1">
      <alignment horizontal="left" vertical="top" wrapText="1"/>
    </xf>
    <xf numFmtId="0" fontId="5" fillId="14" borderId="3" xfId="0" applyFont="1" applyFill="1" applyBorder="1" applyAlignment="1">
      <alignment horizontal="left" vertical="top" wrapText="1"/>
    </xf>
    <xf numFmtId="0" fontId="5" fillId="14" borderId="4" xfId="0" applyFont="1" applyFill="1" applyBorder="1" applyAlignment="1">
      <alignment horizontal="left" vertical="top" wrapText="1"/>
    </xf>
    <xf numFmtId="0" fontId="7" fillId="14" borderId="4" xfId="0" applyFont="1" applyFill="1" applyBorder="1" applyAlignment="1">
      <alignment horizontal="left" vertical="top" wrapText="1"/>
    </xf>
    <xf numFmtId="0" fontId="5" fillId="15" borderId="3" xfId="0" applyFont="1" applyFill="1" applyBorder="1" applyAlignment="1">
      <alignment horizontal="left" vertical="top" wrapText="1"/>
    </xf>
    <xf numFmtId="0" fontId="5" fillId="15" borderId="4" xfId="0" applyFont="1" applyFill="1" applyBorder="1" applyAlignment="1">
      <alignment horizontal="left" vertical="top" wrapText="1"/>
    </xf>
    <xf numFmtId="0" fontId="7" fillId="15" borderId="4" xfId="0" applyFont="1" applyFill="1" applyBorder="1" applyAlignment="1">
      <alignment horizontal="left" vertical="top" wrapText="1"/>
    </xf>
    <xf numFmtId="0" fontId="8" fillId="16" borderId="3" xfId="0" applyFont="1" applyFill="1" applyBorder="1" applyAlignment="1">
      <alignment horizontal="left" vertical="top" wrapText="1"/>
    </xf>
    <xf numFmtId="0" fontId="8" fillId="16" borderId="4" xfId="0" applyFont="1" applyFill="1" applyBorder="1" applyAlignment="1">
      <alignment horizontal="left" vertical="top" wrapText="1"/>
    </xf>
    <xf numFmtId="0" fontId="9" fillId="16" borderId="4" xfId="0" applyFont="1" applyFill="1" applyBorder="1" applyAlignment="1">
      <alignment horizontal="left" vertical="top" wrapText="1"/>
    </xf>
    <xf numFmtId="0" fontId="8" fillId="17" borderId="3" xfId="0" applyFont="1" applyFill="1" applyBorder="1" applyAlignment="1">
      <alignment horizontal="left" vertical="top" wrapText="1"/>
    </xf>
    <xf numFmtId="0" fontId="8" fillId="17" borderId="4" xfId="0" applyFont="1" applyFill="1" applyBorder="1" applyAlignment="1">
      <alignment horizontal="left" vertical="top" wrapText="1"/>
    </xf>
    <xf numFmtId="0" fontId="9" fillId="17" borderId="4" xfId="0" applyFont="1" applyFill="1" applyBorder="1" applyAlignment="1">
      <alignment horizontal="left" vertical="top" wrapText="1"/>
    </xf>
    <xf numFmtId="0" fontId="8" fillId="18" borderId="3" xfId="0" applyFont="1" applyFill="1" applyBorder="1" applyAlignment="1">
      <alignment horizontal="left" vertical="top" wrapText="1"/>
    </xf>
    <xf numFmtId="0" fontId="8" fillId="18" borderId="4" xfId="0" applyFont="1" applyFill="1" applyBorder="1" applyAlignment="1">
      <alignment horizontal="left" vertical="top" wrapText="1"/>
    </xf>
    <xf numFmtId="0" fontId="9" fillId="18" borderId="4" xfId="0" applyFont="1" applyFill="1" applyBorder="1" applyAlignment="1">
      <alignment horizontal="left" vertical="top" wrapText="1"/>
    </xf>
    <xf numFmtId="0" fontId="5" fillId="19" borderId="3" xfId="0" applyFont="1" applyFill="1" applyBorder="1" applyAlignment="1">
      <alignment horizontal="left" vertical="top" wrapText="1"/>
    </xf>
    <xf numFmtId="0" fontId="5" fillId="19" borderId="4" xfId="0" applyFont="1" applyFill="1" applyBorder="1" applyAlignment="1">
      <alignment horizontal="left" vertical="top" wrapText="1"/>
    </xf>
    <xf numFmtId="0" fontId="7" fillId="19" borderId="4" xfId="0" applyFont="1" applyFill="1" applyBorder="1" applyAlignment="1">
      <alignment horizontal="left" vertical="top" wrapText="1"/>
    </xf>
    <xf numFmtId="0" fontId="5" fillId="20" borderId="3" xfId="0" applyFont="1" applyFill="1" applyBorder="1" applyAlignment="1">
      <alignment horizontal="left" vertical="top" wrapText="1"/>
    </xf>
    <xf numFmtId="0" fontId="5" fillId="20" borderId="4" xfId="0" applyFont="1" applyFill="1" applyBorder="1" applyAlignment="1">
      <alignment horizontal="left" vertical="top" wrapText="1"/>
    </xf>
    <xf numFmtId="0" fontId="7" fillId="20" borderId="4" xfId="0" applyFont="1" applyFill="1" applyBorder="1" applyAlignment="1">
      <alignment horizontal="left" vertical="top" wrapText="1"/>
    </xf>
    <xf numFmtId="0" fontId="8" fillId="21" borderId="3" xfId="0" applyFont="1" applyFill="1" applyBorder="1" applyAlignment="1">
      <alignment horizontal="left" vertical="top" wrapText="1"/>
    </xf>
    <xf numFmtId="0" fontId="8" fillId="21" borderId="4" xfId="0" applyFont="1" applyFill="1" applyBorder="1" applyAlignment="1">
      <alignment horizontal="left" vertical="top" wrapText="1"/>
    </xf>
    <xf numFmtId="0" fontId="9" fillId="21" borderId="4" xfId="0" applyFont="1" applyFill="1" applyBorder="1" applyAlignment="1">
      <alignment horizontal="left" vertical="top" wrapText="1"/>
    </xf>
    <xf numFmtId="0" fontId="8" fillId="22" borderId="3" xfId="0" applyFont="1" applyFill="1" applyBorder="1" applyAlignment="1">
      <alignment horizontal="left" vertical="top" wrapText="1"/>
    </xf>
    <xf numFmtId="0" fontId="8" fillId="22" borderId="4" xfId="0" applyFont="1" applyFill="1" applyBorder="1" applyAlignment="1">
      <alignment horizontal="left" vertical="top" wrapText="1"/>
    </xf>
    <xf numFmtId="0" fontId="9" fillId="22" borderId="4" xfId="0" applyFont="1" applyFill="1" applyBorder="1" applyAlignment="1">
      <alignment horizontal="left" vertical="top" wrapText="1"/>
    </xf>
    <xf numFmtId="0" fontId="8" fillId="22" borderId="17" xfId="0" applyFont="1" applyFill="1" applyBorder="1" applyAlignment="1">
      <alignment horizontal="left" vertical="top" wrapText="1"/>
    </xf>
    <xf numFmtId="0" fontId="8" fillId="22" borderId="6" xfId="0" applyFont="1" applyFill="1" applyBorder="1" applyAlignment="1">
      <alignment horizontal="left" vertical="top" wrapText="1"/>
    </xf>
    <xf numFmtId="0" fontId="9" fillId="22" borderId="6" xfId="0" applyFont="1" applyFill="1" applyBorder="1" applyAlignment="1">
      <alignment horizontal="left" vertical="top" wrapText="1"/>
    </xf>
    <xf numFmtId="0" fontId="4" fillId="0" borderId="6" xfId="0" applyFont="1" applyBorder="1" applyAlignment="1">
      <alignment horizontal="left" vertical="top" wrapText="1"/>
    </xf>
    <xf numFmtId="0" fontId="5" fillId="0" borderId="18" xfId="0" applyFont="1" applyBorder="1" applyAlignment="1">
      <alignment horizontal="left" vertical="top" wrapText="1"/>
    </xf>
    <xf numFmtId="0" fontId="5" fillId="0" borderId="1" xfId="0" applyFont="1" applyBorder="1" applyAlignment="1">
      <alignment horizontal="left" vertical="top" wrapText="1"/>
    </xf>
    <xf numFmtId="0" fontId="5" fillId="8" borderId="0" xfId="0" applyFont="1" applyFill="1" applyAlignment="1">
      <alignment horizontal="left" vertical="top" wrapText="1"/>
    </xf>
    <xf numFmtId="0" fontId="5" fillId="8" borderId="21" xfId="0" applyFont="1" applyFill="1" applyBorder="1" applyAlignment="1">
      <alignment horizontal="left" vertical="center" wrapText="1"/>
    </xf>
    <xf numFmtId="0" fontId="5" fillId="8" borderId="1" xfId="0" applyFont="1" applyFill="1" applyBorder="1" applyAlignment="1">
      <alignment horizontal="left" vertical="top" wrapText="1"/>
    </xf>
    <xf numFmtId="0" fontId="5" fillId="8" borderId="0" xfId="0" applyFont="1" applyFill="1" applyAlignment="1">
      <alignment horizontal="left" vertical="center" wrapText="1"/>
    </xf>
    <xf numFmtId="0" fontId="5" fillId="8" borderId="22" xfId="0" applyFont="1" applyFill="1" applyBorder="1" applyAlignment="1">
      <alignment horizontal="left" vertical="center" wrapText="1"/>
    </xf>
    <xf numFmtId="0" fontId="5" fillId="8" borderId="15" xfId="0" applyFont="1" applyFill="1" applyBorder="1" applyAlignment="1">
      <alignment horizontal="left" vertical="top" wrapText="1"/>
    </xf>
    <xf numFmtId="0" fontId="5" fillId="8" borderId="17" xfId="0" applyFont="1" applyFill="1" applyBorder="1" applyAlignment="1">
      <alignment horizontal="left" vertical="top" wrapText="1"/>
    </xf>
    <xf numFmtId="0" fontId="5" fillId="0" borderId="24" xfId="0" applyFont="1" applyBorder="1" applyAlignment="1">
      <alignment horizontal="left" vertical="top" wrapText="1"/>
    </xf>
    <xf numFmtId="0" fontId="4" fillId="7" borderId="9" xfId="0" applyFont="1" applyFill="1" applyBorder="1" applyAlignment="1">
      <alignment horizontal="center" vertical="center" wrapText="1"/>
    </xf>
    <xf numFmtId="0" fontId="10" fillId="2" borderId="22" xfId="0" applyFont="1" applyFill="1" applyBorder="1" applyAlignment="1">
      <alignment horizontal="center" vertical="center"/>
    </xf>
    <xf numFmtId="0" fontId="10" fillId="3" borderId="25"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9" borderId="26" xfId="0" applyFont="1" applyFill="1" applyBorder="1" applyAlignment="1">
      <alignment horizontal="left" vertical="center" wrapText="1"/>
    </xf>
    <xf numFmtId="0" fontId="10" fillId="9" borderId="4" xfId="0" applyFont="1" applyFill="1" applyBorder="1" applyAlignment="1">
      <alignment horizontal="left" vertical="center" wrapText="1"/>
    </xf>
    <xf numFmtId="0" fontId="12" fillId="10" borderId="26" xfId="0" applyFont="1" applyFill="1" applyBorder="1" applyAlignment="1">
      <alignment horizontal="left" vertical="center" wrapText="1"/>
    </xf>
    <xf numFmtId="0" fontId="12" fillId="10" borderId="4" xfId="0" applyFont="1" applyFill="1" applyBorder="1" applyAlignment="1">
      <alignment horizontal="left" vertical="center" wrapText="1"/>
    </xf>
    <xf numFmtId="0" fontId="12" fillId="11" borderId="26"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10" fillId="12" borderId="26" xfId="0" applyFont="1" applyFill="1" applyBorder="1" applyAlignment="1">
      <alignment horizontal="left" vertical="center" wrapText="1"/>
    </xf>
    <xf numFmtId="0" fontId="11" fillId="12" borderId="4" xfId="0" applyFont="1" applyFill="1" applyBorder="1" applyAlignment="1">
      <alignment horizontal="left" vertical="center" wrapText="1"/>
    </xf>
    <xf numFmtId="0" fontId="12" fillId="13" borderId="26" xfId="0" applyFont="1" applyFill="1" applyBorder="1" applyAlignment="1">
      <alignment horizontal="left" vertical="center" wrapText="1"/>
    </xf>
    <xf numFmtId="0" fontId="13" fillId="13" borderId="4" xfId="0" applyFont="1" applyFill="1" applyBorder="1" applyAlignment="1">
      <alignment horizontal="left" vertical="center" wrapText="1"/>
    </xf>
    <xf numFmtId="0" fontId="10" fillId="14" borderId="26" xfId="0" applyFont="1" applyFill="1" applyBorder="1" applyAlignment="1">
      <alignment horizontal="left" vertical="center" wrapText="1"/>
    </xf>
    <xf numFmtId="0" fontId="11" fillId="14" borderId="4" xfId="0" applyFont="1" applyFill="1" applyBorder="1" applyAlignment="1">
      <alignment horizontal="left" vertical="center" wrapText="1"/>
    </xf>
    <xf numFmtId="0" fontId="10" fillId="15" borderId="26" xfId="0" applyFont="1" applyFill="1" applyBorder="1" applyAlignment="1">
      <alignment horizontal="left" vertical="center" wrapText="1"/>
    </xf>
    <xf numFmtId="0" fontId="11" fillId="15" borderId="4" xfId="0" applyFont="1" applyFill="1" applyBorder="1" applyAlignment="1">
      <alignment horizontal="left" vertical="center" wrapText="1"/>
    </xf>
    <xf numFmtId="0" fontId="12" fillId="16" borderId="26" xfId="0" applyFont="1" applyFill="1" applyBorder="1" applyAlignment="1">
      <alignment horizontal="left" vertical="center" wrapText="1"/>
    </xf>
    <xf numFmtId="0" fontId="13" fillId="16" borderId="4" xfId="0" applyFont="1" applyFill="1" applyBorder="1" applyAlignment="1">
      <alignment horizontal="left" vertical="center" wrapText="1"/>
    </xf>
    <xf numFmtId="0" fontId="12" fillId="17" borderId="26" xfId="0" applyFont="1" applyFill="1" applyBorder="1" applyAlignment="1">
      <alignment horizontal="left" vertical="center" wrapText="1"/>
    </xf>
    <xf numFmtId="0" fontId="13" fillId="17" borderId="4" xfId="0" applyFont="1" applyFill="1" applyBorder="1" applyAlignment="1">
      <alignment horizontal="left" vertical="center" wrapText="1"/>
    </xf>
    <xf numFmtId="0" fontId="12" fillId="18" borderId="26" xfId="0" applyFont="1" applyFill="1" applyBorder="1" applyAlignment="1">
      <alignment horizontal="left" vertical="center" wrapText="1"/>
    </xf>
    <xf numFmtId="0" fontId="13" fillId="18" borderId="4" xfId="0" applyFont="1" applyFill="1" applyBorder="1" applyAlignment="1">
      <alignment horizontal="left" vertical="center" wrapText="1"/>
    </xf>
    <xf numFmtId="0" fontId="10" fillId="19" borderId="26" xfId="0" applyFont="1" applyFill="1" applyBorder="1" applyAlignment="1">
      <alignment horizontal="left" vertical="center" wrapText="1"/>
    </xf>
    <xf numFmtId="0" fontId="11" fillId="19" borderId="4" xfId="0" applyFont="1" applyFill="1" applyBorder="1" applyAlignment="1">
      <alignment horizontal="left" vertical="center" wrapText="1"/>
    </xf>
    <xf numFmtId="0" fontId="10" fillId="20" borderId="26" xfId="0" applyFont="1" applyFill="1" applyBorder="1" applyAlignment="1">
      <alignment horizontal="left" vertical="center" wrapText="1"/>
    </xf>
    <xf numFmtId="0" fontId="11" fillId="20" borderId="4" xfId="0" applyFont="1" applyFill="1" applyBorder="1" applyAlignment="1">
      <alignment horizontal="left" vertical="center" wrapText="1"/>
    </xf>
    <xf numFmtId="0" fontId="12" fillId="21" borderId="26" xfId="0" applyFont="1" applyFill="1" applyBorder="1" applyAlignment="1">
      <alignment horizontal="left" vertical="center" wrapText="1"/>
    </xf>
    <xf numFmtId="0" fontId="13" fillId="21" borderId="4" xfId="0" applyFont="1" applyFill="1" applyBorder="1" applyAlignment="1">
      <alignment horizontal="left" vertical="center" wrapText="1"/>
    </xf>
    <xf numFmtId="0" fontId="10" fillId="22" borderId="27" xfId="0" applyFont="1" applyFill="1" applyBorder="1" applyAlignment="1">
      <alignment horizontal="left" vertical="center" wrapText="1"/>
    </xf>
    <xf numFmtId="0" fontId="4" fillId="8" borderId="8"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3" xfId="0" applyFont="1" applyFill="1" applyBorder="1" applyAlignment="1">
      <alignment horizontal="center" vertical="center" wrapText="1"/>
    </xf>
    <xf numFmtId="1" fontId="10" fillId="7" borderId="28" xfId="0" applyNumberFormat="1" applyFont="1" applyFill="1" applyBorder="1" applyAlignment="1">
      <alignment horizontal="center" vertical="center"/>
    </xf>
    <xf numFmtId="1" fontId="4" fillId="6" borderId="19" xfId="0" applyNumberFormat="1" applyFont="1" applyFill="1" applyBorder="1" applyAlignment="1">
      <alignment horizontal="center" vertical="center" wrapText="1"/>
    </xf>
    <xf numFmtId="1" fontId="4" fillId="2" borderId="29" xfId="0" applyNumberFormat="1" applyFont="1" applyFill="1" applyBorder="1" applyAlignment="1">
      <alignment horizontal="center" vertical="center" wrapText="1"/>
    </xf>
    <xf numFmtId="0" fontId="4" fillId="8" borderId="30" xfId="0" applyFont="1" applyFill="1" applyBorder="1" applyAlignment="1">
      <alignment horizontal="center" vertical="top" wrapText="1"/>
    </xf>
    <xf numFmtId="1" fontId="8" fillId="8" borderId="23" xfId="0" applyNumberFormat="1" applyFont="1" applyFill="1" applyBorder="1" applyAlignment="1">
      <alignment horizontal="left" vertical="top" wrapText="1"/>
    </xf>
    <xf numFmtId="0" fontId="8" fillId="8" borderId="0" xfId="0" applyFont="1" applyFill="1" applyAlignment="1">
      <alignment horizontal="left" vertical="top" wrapText="1"/>
    </xf>
    <xf numFmtId="0" fontId="5" fillId="0" borderId="19" xfId="0" applyFont="1" applyBorder="1" applyAlignment="1">
      <alignment horizontal="left" vertical="top" wrapText="1"/>
    </xf>
    <xf numFmtId="0" fontId="11" fillId="22" borderId="6" xfId="0" applyFont="1" applyFill="1" applyBorder="1" applyAlignment="1">
      <alignment horizontal="left" vertical="center" wrapText="1"/>
    </xf>
    <xf numFmtId="9" fontId="11" fillId="12" borderId="12" xfId="0" applyNumberFormat="1" applyFont="1" applyFill="1" applyBorder="1" applyAlignment="1">
      <alignment horizontal="left" vertical="center" wrapText="1"/>
    </xf>
    <xf numFmtId="9" fontId="13" fillId="11" borderId="12" xfId="0" applyNumberFormat="1" applyFont="1" applyFill="1" applyBorder="1" applyAlignment="1">
      <alignment horizontal="left" vertical="center" wrapText="1"/>
    </xf>
    <xf numFmtId="0" fontId="10" fillId="3" borderId="32" xfId="0" applyFont="1" applyFill="1" applyBorder="1" applyAlignment="1">
      <alignment horizontal="center" vertical="center" wrapText="1"/>
    </xf>
    <xf numFmtId="1" fontId="10" fillId="9" borderId="19" xfId="0" applyNumberFormat="1" applyFont="1" applyFill="1" applyBorder="1" applyAlignment="1">
      <alignment horizontal="left" vertical="center" wrapText="1"/>
    </xf>
    <xf numFmtId="1" fontId="12" fillId="10" borderId="19" xfId="0" applyNumberFormat="1" applyFont="1" applyFill="1" applyBorder="1" applyAlignment="1">
      <alignment horizontal="left" vertical="center" wrapText="1"/>
    </xf>
    <xf numFmtId="1" fontId="13" fillId="11" borderId="19" xfId="0" applyNumberFormat="1" applyFont="1" applyFill="1" applyBorder="1" applyAlignment="1">
      <alignment horizontal="left" vertical="center" wrapText="1"/>
    </xf>
    <xf numFmtId="1" fontId="11" fillId="12" borderId="19" xfId="0" applyNumberFormat="1" applyFont="1" applyFill="1" applyBorder="1" applyAlignment="1">
      <alignment horizontal="left" vertical="center" wrapText="1"/>
    </xf>
    <xf numFmtId="1" fontId="13" fillId="13" borderId="19" xfId="0" applyNumberFormat="1" applyFont="1" applyFill="1" applyBorder="1" applyAlignment="1">
      <alignment horizontal="left" vertical="center" wrapText="1"/>
    </xf>
    <xf numFmtId="1" fontId="11" fillId="14" borderId="19" xfId="0" applyNumberFormat="1" applyFont="1" applyFill="1" applyBorder="1" applyAlignment="1">
      <alignment horizontal="left" vertical="center" wrapText="1"/>
    </xf>
    <xf numFmtId="1" fontId="11" fillId="15" borderId="19" xfId="0" applyNumberFormat="1" applyFont="1" applyFill="1" applyBorder="1" applyAlignment="1">
      <alignment horizontal="left" vertical="center" wrapText="1"/>
    </xf>
    <xf numFmtId="1" fontId="13" fillId="16" borderId="19" xfId="0" applyNumberFormat="1" applyFont="1" applyFill="1" applyBorder="1" applyAlignment="1">
      <alignment horizontal="left" vertical="center" wrapText="1"/>
    </xf>
    <xf numFmtId="1" fontId="13" fillId="17" borderId="19" xfId="0" applyNumberFormat="1" applyFont="1" applyFill="1" applyBorder="1" applyAlignment="1">
      <alignment horizontal="left" vertical="center" wrapText="1"/>
    </xf>
    <xf numFmtId="1" fontId="13" fillId="18" borderId="19" xfId="0" applyNumberFormat="1" applyFont="1" applyFill="1" applyBorder="1" applyAlignment="1">
      <alignment horizontal="left" vertical="center" wrapText="1"/>
    </xf>
    <xf numFmtId="1" fontId="11" fillId="19" borderId="19" xfId="0" applyNumberFormat="1" applyFont="1" applyFill="1" applyBorder="1" applyAlignment="1">
      <alignment horizontal="left" vertical="center" wrapText="1"/>
    </xf>
    <xf numFmtId="1" fontId="11" fillId="20" borderId="19" xfId="0" applyNumberFormat="1" applyFont="1" applyFill="1" applyBorder="1" applyAlignment="1">
      <alignment horizontal="left" vertical="center" wrapText="1"/>
    </xf>
    <xf numFmtId="1" fontId="13" fillId="21" borderId="19" xfId="0" applyNumberFormat="1" applyFont="1" applyFill="1" applyBorder="1" applyAlignment="1">
      <alignment horizontal="left" vertical="center" wrapText="1"/>
    </xf>
    <xf numFmtId="1" fontId="11" fillId="22" borderId="20" xfId="0" applyNumberFormat="1" applyFont="1" applyFill="1" applyBorder="1" applyAlignment="1">
      <alignment horizontal="left" vertical="center" wrapText="1"/>
    </xf>
    <xf numFmtId="9" fontId="4" fillId="20" borderId="12" xfId="0" applyNumberFormat="1" applyFont="1" applyFill="1" applyBorder="1" applyAlignment="1">
      <alignment horizontal="left" vertical="top" wrapText="1"/>
    </xf>
    <xf numFmtId="9" fontId="12" fillId="10" borderId="12" xfId="0" applyNumberFormat="1" applyFont="1" applyFill="1" applyBorder="1" applyAlignment="1">
      <alignment horizontal="left" vertical="center" wrapText="1"/>
    </xf>
    <xf numFmtId="9" fontId="4" fillId="13" borderId="12" xfId="0" applyNumberFormat="1" applyFont="1" applyFill="1" applyBorder="1" applyAlignment="1">
      <alignment horizontal="left" vertical="top" wrapText="1"/>
    </xf>
    <xf numFmtId="9" fontId="4" fillId="14" borderId="12" xfId="0" applyNumberFormat="1" applyFont="1" applyFill="1" applyBorder="1" applyAlignment="1">
      <alignment horizontal="left" vertical="top" wrapText="1"/>
    </xf>
    <xf numFmtId="9" fontId="4" fillId="15" borderId="12" xfId="0" applyNumberFormat="1" applyFont="1" applyFill="1" applyBorder="1" applyAlignment="1">
      <alignment horizontal="left" vertical="top" wrapText="1"/>
    </xf>
    <xf numFmtId="9" fontId="16" fillId="16" borderId="12" xfId="0" applyNumberFormat="1" applyFont="1" applyFill="1" applyBorder="1" applyAlignment="1">
      <alignment horizontal="left" vertical="top" wrapText="1"/>
    </xf>
    <xf numFmtId="9" fontId="16" fillId="17" borderId="12" xfId="0" applyNumberFormat="1" applyFont="1" applyFill="1" applyBorder="1" applyAlignment="1">
      <alignment horizontal="left" vertical="top" wrapText="1"/>
    </xf>
    <xf numFmtId="9" fontId="16" fillId="18" borderId="12" xfId="0" applyNumberFormat="1" applyFont="1" applyFill="1" applyBorder="1" applyAlignment="1">
      <alignment horizontal="left" vertical="top" wrapText="1"/>
    </xf>
    <xf numFmtId="9" fontId="4" fillId="19" borderId="12" xfId="0" applyNumberFormat="1" applyFont="1" applyFill="1" applyBorder="1" applyAlignment="1">
      <alignment horizontal="left" vertical="top" wrapText="1"/>
    </xf>
    <xf numFmtId="9" fontId="16" fillId="21" borderId="12" xfId="0" applyNumberFormat="1" applyFont="1" applyFill="1" applyBorder="1" applyAlignment="1">
      <alignment horizontal="left" vertical="top" wrapText="1"/>
    </xf>
    <xf numFmtId="9" fontId="4" fillId="22" borderId="14" xfId="0" applyNumberFormat="1" applyFont="1" applyFill="1" applyBorder="1" applyAlignment="1">
      <alignment horizontal="left" vertical="top" wrapText="1"/>
    </xf>
    <xf numFmtId="0" fontId="5" fillId="0" borderId="20" xfId="0" applyFont="1" applyBorder="1" applyAlignment="1">
      <alignment horizontal="left" vertical="top" wrapText="1"/>
    </xf>
    <xf numFmtId="0" fontId="5" fillId="8" borderId="3" xfId="0" applyFont="1" applyFill="1" applyBorder="1" applyAlignment="1">
      <alignment horizontal="left" vertical="top" wrapText="1"/>
    </xf>
    <xf numFmtId="0" fontId="17" fillId="4" borderId="0" xfId="0" applyFont="1" applyFill="1"/>
    <xf numFmtId="0" fontId="17" fillId="8" borderId="0" xfId="0" applyFont="1" applyFill="1"/>
    <xf numFmtId="0" fontId="17" fillId="8" borderId="0" xfId="0" applyFont="1" applyFill="1" applyAlignment="1">
      <alignment horizontal="left" vertical="top" wrapText="1"/>
    </xf>
    <xf numFmtId="0" fontId="18" fillId="8" borderId="0" xfId="0" applyFont="1" applyFill="1"/>
    <xf numFmtId="0" fontId="19" fillId="8" borderId="0" xfId="0" applyFont="1" applyFill="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3" xfId="0" applyFont="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19" xfId="0" applyBorder="1" applyAlignment="1">
      <alignment vertical="center" wrapText="1"/>
    </xf>
    <xf numFmtId="0" fontId="0" fillId="0" borderId="17" xfId="0" applyBorder="1" applyAlignment="1">
      <alignment vertical="center" wrapText="1"/>
    </xf>
    <xf numFmtId="0" fontId="0" fillId="0" borderId="6" xfId="0" applyBorder="1" applyAlignment="1">
      <alignment vertical="center" wrapText="1"/>
    </xf>
    <xf numFmtId="0" fontId="0" fillId="0" borderId="20" xfId="0" applyBorder="1" applyAlignment="1">
      <alignment vertical="center" wrapText="1"/>
    </xf>
    <xf numFmtId="0" fontId="20" fillId="8" borderId="0" xfId="0" applyFont="1" applyFill="1"/>
    <xf numFmtId="0" fontId="17" fillId="8" borderId="16" xfId="0" applyFont="1" applyFill="1" applyBorder="1"/>
    <xf numFmtId="0" fontId="19" fillId="8" borderId="0" xfId="0" applyFont="1" applyFill="1" applyAlignment="1">
      <alignment horizontal="left" vertical="top" wrapText="1"/>
    </xf>
    <xf numFmtId="0" fontId="8" fillId="11" borderId="4" xfId="0" applyFont="1" applyFill="1" applyBorder="1" applyAlignment="1">
      <alignment horizontal="left" vertical="top" wrapText="1"/>
    </xf>
    <xf numFmtId="0" fontId="9" fillId="11" borderId="4" xfId="0" applyFont="1" applyFill="1" applyBorder="1" applyAlignment="1">
      <alignment horizontal="left" vertical="top" wrapText="1"/>
    </xf>
    <xf numFmtId="1" fontId="15" fillId="8" borderId="23" xfId="0" applyNumberFormat="1" applyFont="1" applyFill="1" applyBorder="1" applyAlignment="1">
      <alignment horizontal="center" vertical="center" wrapText="1"/>
    </xf>
    <xf numFmtId="1" fontId="15" fillId="8" borderId="31" xfId="0" applyNumberFormat="1" applyFont="1" applyFill="1" applyBorder="1" applyAlignment="1">
      <alignment horizontal="center" vertical="center" wrapText="1"/>
    </xf>
    <xf numFmtId="0" fontId="21" fillId="0" borderId="0" xfId="0" applyFont="1"/>
    <xf numFmtId="0" fontId="17" fillId="8" borderId="0" xfId="0" applyFont="1" applyFill="1" applyAlignment="1">
      <alignment vertical="center"/>
    </xf>
    <xf numFmtId="0" fontId="1" fillId="4" borderId="7" xfId="1" applyFont="1" applyFill="1" applyBorder="1" applyAlignment="1">
      <alignment vertical="center"/>
    </xf>
    <xf numFmtId="0" fontId="14" fillId="0" borderId="4" xfId="0" applyFont="1" applyBorder="1" applyAlignment="1">
      <alignment horizontal="center" vertical="center" wrapText="1"/>
    </xf>
  </cellXfs>
  <cellStyles count="2">
    <cellStyle name="Lien hypertexte" xfId="1" builtinId="8"/>
    <cellStyle name="Normal" xfId="0" builtinId="0"/>
  </cellStyles>
  <dxfs count="3">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9370DB"/>
      <color rgb="FF40E0D0"/>
      <color rgb="FFFFD700"/>
      <color rgb="FF008B8B"/>
      <color rgb="FFFF1493"/>
      <color rgb="FF808000"/>
      <color rgb="FF87CEFA"/>
      <color rgb="FFFF7F50"/>
      <color rgb="FF4B0082"/>
      <color rgb="FFD269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fr-FR"/>
              <a:t>Répartition par balance "Better Left"</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fr-FR"/>
        </a:p>
      </c:txPr>
    </c:title>
    <c:autoTitleDeleted val="0"/>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FORMULAIRE!$B$875</c:f>
              <c:strCache>
                <c:ptCount val="1"/>
                <c:pt idx="0">
                  <c:v>Reconnaissance</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FORMULAIRE!$C$874:$E$874</c:f>
              <c:strCache>
                <c:ptCount val="3"/>
                <c:pt idx="0">
                  <c:v>Oui</c:v>
                </c:pt>
                <c:pt idx="1">
                  <c:v>Non</c:v>
                </c:pt>
                <c:pt idx="2">
                  <c:v>Non-Concerné</c:v>
                </c:pt>
              </c:strCache>
            </c:strRef>
          </c:cat>
          <c:val>
            <c:numRef>
              <c:f>FORMULAIRE!$C$875:$E$875</c:f>
              <c:numCache>
                <c:formatCode>General</c:formatCode>
                <c:ptCount val="3"/>
                <c:pt idx="0">
                  <c:v>8</c:v>
                </c:pt>
                <c:pt idx="1">
                  <c:v>20</c:v>
                </c:pt>
                <c:pt idx="2" formatCode="0">
                  <c:v>16</c:v>
                </c:pt>
              </c:numCache>
            </c:numRef>
          </c:val>
          <c:extLst>
            <c:ext xmlns:c16="http://schemas.microsoft.com/office/drawing/2014/chart" uri="{C3380CC4-5D6E-409C-BE32-E72D297353CC}">
              <c16:uniqueId val="{00000000-4490-4381-ACDF-2CBBEAF1CBFF}"/>
            </c:ext>
          </c:extLst>
        </c:ser>
        <c:ser>
          <c:idx val="1"/>
          <c:order val="1"/>
          <c:tx>
            <c:strRef>
              <c:f>FORMULAIRE!$B$876</c:f>
              <c:strCache>
                <c:ptCount val="1"/>
                <c:pt idx="0">
                  <c:v>Développement des ressources</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FORMULAIRE!$C$874:$E$874</c:f>
              <c:strCache>
                <c:ptCount val="3"/>
                <c:pt idx="0">
                  <c:v>Oui</c:v>
                </c:pt>
                <c:pt idx="1">
                  <c:v>Non</c:v>
                </c:pt>
                <c:pt idx="2">
                  <c:v>Non-Concerné</c:v>
                </c:pt>
              </c:strCache>
            </c:strRef>
          </c:cat>
          <c:val>
            <c:numRef>
              <c:f>FORMULAIRE!$C$876:$E$876</c:f>
              <c:numCache>
                <c:formatCode>General</c:formatCode>
                <c:ptCount val="3"/>
                <c:pt idx="0">
                  <c:v>10</c:v>
                </c:pt>
                <c:pt idx="1">
                  <c:v>7</c:v>
                </c:pt>
                <c:pt idx="2" formatCode="0">
                  <c:v>30</c:v>
                </c:pt>
              </c:numCache>
            </c:numRef>
          </c:val>
          <c:extLst>
            <c:ext xmlns:c16="http://schemas.microsoft.com/office/drawing/2014/chart" uri="{C3380CC4-5D6E-409C-BE32-E72D297353CC}">
              <c16:uniqueId val="{00000001-4490-4381-ACDF-2CBBEAF1CBFF}"/>
            </c:ext>
          </c:extLst>
        </c:ser>
        <c:ser>
          <c:idx val="2"/>
          <c:order val="2"/>
          <c:tx>
            <c:strRef>
              <c:f>FORMULAIRE!$B$877</c:f>
              <c:strCache>
                <c:ptCount val="1"/>
                <c:pt idx="0">
                  <c:v>Accès initial</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FORMULAIRE!$C$874:$E$874</c:f>
              <c:strCache>
                <c:ptCount val="3"/>
                <c:pt idx="0">
                  <c:v>Oui</c:v>
                </c:pt>
                <c:pt idx="1">
                  <c:v>Non</c:v>
                </c:pt>
                <c:pt idx="2">
                  <c:v>Non-Concerné</c:v>
                </c:pt>
              </c:strCache>
            </c:strRef>
          </c:cat>
          <c:val>
            <c:numRef>
              <c:f>FORMULAIRE!$C$877:$E$877</c:f>
              <c:numCache>
                <c:formatCode>General</c:formatCode>
                <c:ptCount val="3"/>
                <c:pt idx="0">
                  <c:v>11</c:v>
                </c:pt>
                <c:pt idx="1">
                  <c:v>0</c:v>
                </c:pt>
                <c:pt idx="2" formatCode="0">
                  <c:v>10</c:v>
                </c:pt>
              </c:numCache>
            </c:numRef>
          </c:val>
          <c:extLst>
            <c:ext xmlns:c16="http://schemas.microsoft.com/office/drawing/2014/chart" uri="{C3380CC4-5D6E-409C-BE32-E72D297353CC}">
              <c16:uniqueId val="{00000002-4490-4381-ACDF-2CBBEAF1CBFF}"/>
            </c:ext>
          </c:extLst>
        </c:ser>
        <c:ser>
          <c:idx val="3"/>
          <c:order val="3"/>
          <c:tx>
            <c:strRef>
              <c:f>FORMULAIRE!$B$878</c:f>
              <c:strCache>
                <c:ptCount val="1"/>
                <c:pt idx="0">
                  <c:v>Exécution</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cat>
            <c:strRef>
              <c:f>FORMULAIRE!$C$874:$E$874</c:f>
              <c:strCache>
                <c:ptCount val="3"/>
                <c:pt idx="0">
                  <c:v>Oui</c:v>
                </c:pt>
                <c:pt idx="1">
                  <c:v>Non</c:v>
                </c:pt>
                <c:pt idx="2">
                  <c:v>Non-Concerné</c:v>
                </c:pt>
              </c:strCache>
            </c:strRef>
          </c:cat>
          <c:val>
            <c:numRef>
              <c:f>FORMULAIRE!$C$878:$E$878</c:f>
              <c:numCache>
                <c:formatCode>General</c:formatCode>
                <c:ptCount val="3"/>
                <c:pt idx="0">
                  <c:v>19</c:v>
                </c:pt>
                <c:pt idx="1">
                  <c:v>9</c:v>
                </c:pt>
                <c:pt idx="2" formatCode="0">
                  <c:v>10</c:v>
                </c:pt>
              </c:numCache>
            </c:numRef>
          </c:val>
          <c:extLst>
            <c:ext xmlns:c16="http://schemas.microsoft.com/office/drawing/2014/chart" uri="{C3380CC4-5D6E-409C-BE32-E72D297353CC}">
              <c16:uniqueId val="{00000003-4490-4381-ACDF-2CBBEAF1CBFF}"/>
            </c:ext>
          </c:extLst>
        </c:ser>
        <c:ser>
          <c:idx val="4"/>
          <c:order val="4"/>
          <c:tx>
            <c:strRef>
              <c:f>FORMULAIRE!$B$879</c:f>
              <c:strCache>
                <c:ptCount val="1"/>
                <c:pt idx="0">
                  <c:v>Persistance</c:v>
                </c:pt>
              </c:strCache>
            </c:strRef>
          </c:tx>
          <c:spPr>
            <a:solidFill>
              <a:schemeClr val="accent5"/>
            </a:solidFill>
            <a:ln>
              <a:solidFill>
                <a:schemeClr val="accent5">
                  <a:lumMod val="75000"/>
                </a:schemeClr>
              </a:solidFill>
            </a:ln>
            <a:effectLst/>
            <a:scene3d>
              <a:camera prst="orthographicFront"/>
              <a:lightRig rig="threePt" dir="t"/>
            </a:scene3d>
            <a:sp3d prstMaterial="translucentPowder">
              <a:contourClr>
                <a:schemeClr val="accent5">
                  <a:lumMod val="75000"/>
                </a:schemeClr>
              </a:contourClr>
            </a:sp3d>
          </c:spPr>
          <c:invertIfNegative val="0"/>
          <c:cat>
            <c:strRef>
              <c:f>FORMULAIRE!$C$874:$E$874</c:f>
              <c:strCache>
                <c:ptCount val="3"/>
                <c:pt idx="0">
                  <c:v>Oui</c:v>
                </c:pt>
                <c:pt idx="1">
                  <c:v>Non</c:v>
                </c:pt>
                <c:pt idx="2">
                  <c:v>Non-Concerné</c:v>
                </c:pt>
              </c:strCache>
            </c:strRef>
          </c:cat>
          <c:val>
            <c:numRef>
              <c:f>FORMULAIRE!$C$879:$E$879</c:f>
              <c:numCache>
                <c:formatCode>General</c:formatCode>
                <c:ptCount val="3"/>
                <c:pt idx="0">
                  <c:v>35</c:v>
                </c:pt>
                <c:pt idx="1">
                  <c:v>37</c:v>
                </c:pt>
                <c:pt idx="2" formatCode="0">
                  <c:v>48</c:v>
                </c:pt>
              </c:numCache>
            </c:numRef>
          </c:val>
          <c:extLst>
            <c:ext xmlns:c16="http://schemas.microsoft.com/office/drawing/2014/chart" uri="{C3380CC4-5D6E-409C-BE32-E72D297353CC}">
              <c16:uniqueId val="{00000004-4490-4381-ACDF-2CBBEAF1CBFF}"/>
            </c:ext>
          </c:extLst>
        </c:ser>
        <c:ser>
          <c:idx val="5"/>
          <c:order val="5"/>
          <c:tx>
            <c:strRef>
              <c:f>FORMULAIRE!$B$880</c:f>
              <c:strCache>
                <c:ptCount val="1"/>
                <c:pt idx="0">
                  <c:v>Élévation des privilèges</c:v>
                </c:pt>
              </c:strCache>
            </c:strRef>
          </c:tx>
          <c:spPr>
            <a:solidFill>
              <a:schemeClr val="accent6"/>
            </a:solidFill>
            <a:ln>
              <a:solidFill>
                <a:schemeClr val="accent6">
                  <a:lumMod val="75000"/>
                </a:schemeClr>
              </a:solidFill>
            </a:ln>
            <a:effectLst/>
            <a:scene3d>
              <a:camera prst="orthographicFront"/>
              <a:lightRig rig="threePt" dir="t"/>
            </a:scene3d>
            <a:sp3d prstMaterial="translucentPowder">
              <a:contourClr>
                <a:schemeClr val="accent6">
                  <a:lumMod val="75000"/>
                </a:schemeClr>
              </a:contourClr>
            </a:sp3d>
          </c:spPr>
          <c:invertIfNegative val="0"/>
          <c:cat>
            <c:strRef>
              <c:f>FORMULAIRE!$C$874:$E$874</c:f>
              <c:strCache>
                <c:ptCount val="3"/>
                <c:pt idx="0">
                  <c:v>Oui</c:v>
                </c:pt>
                <c:pt idx="1">
                  <c:v>Non</c:v>
                </c:pt>
                <c:pt idx="2">
                  <c:v>Non-Concerné</c:v>
                </c:pt>
              </c:strCache>
            </c:strRef>
          </c:cat>
          <c:val>
            <c:numRef>
              <c:f>FORMULAIRE!$C$880:$E$880</c:f>
              <c:numCache>
                <c:formatCode>General</c:formatCode>
                <c:ptCount val="3"/>
                <c:pt idx="0">
                  <c:v>27</c:v>
                </c:pt>
                <c:pt idx="1">
                  <c:v>49</c:v>
                </c:pt>
                <c:pt idx="2" formatCode="0">
                  <c:v>33</c:v>
                </c:pt>
              </c:numCache>
            </c:numRef>
          </c:val>
          <c:extLst>
            <c:ext xmlns:c16="http://schemas.microsoft.com/office/drawing/2014/chart" uri="{C3380CC4-5D6E-409C-BE32-E72D297353CC}">
              <c16:uniqueId val="{00000005-4490-4381-ACDF-2CBBEAF1CBFF}"/>
            </c:ext>
          </c:extLst>
        </c:ser>
        <c:ser>
          <c:idx val="6"/>
          <c:order val="6"/>
          <c:tx>
            <c:strRef>
              <c:f>FORMULAIRE!$B$881</c:f>
              <c:strCache>
                <c:ptCount val="1"/>
                <c:pt idx="0">
                  <c:v>Évasion défensive</c:v>
                </c:pt>
              </c:strCache>
            </c:strRef>
          </c:tx>
          <c:spPr>
            <a:solidFill>
              <a:schemeClr val="accent1">
                <a:lumMod val="60000"/>
              </a:schemeClr>
            </a:solidFill>
            <a:ln>
              <a:solidFill>
                <a:schemeClr val="accent1">
                  <a:lumMod val="60000"/>
                  <a:lumMod val="75000"/>
                </a:schemeClr>
              </a:solidFill>
            </a:ln>
            <a:effectLst/>
            <a:scene3d>
              <a:camera prst="orthographicFront"/>
              <a:lightRig rig="threePt" dir="t"/>
            </a:scene3d>
            <a:sp3d prstMaterial="translucentPowder">
              <a:contourClr>
                <a:schemeClr val="accent1">
                  <a:lumMod val="60000"/>
                  <a:lumMod val="75000"/>
                </a:schemeClr>
              </a:contourClr>
            </a:sp3d>
          </c:spPr>
          <c:invertIfNegative val="0"/>
          <c:cat>
            <c:strRef>
              <c:f>FORMULAIRE!$C$874:$E$874</c:f>
              <c:strCache>
                <c:ptCount val="3"/>
                <c:pt idx="0">
                  <c:v>Oui</c:v>
                </c:pt>
                <c:pt idx="1">
                  <c:v>Non</c:v>
                </c:pt>
                <c:pt idx="2">
                  <c:v>Non-Concerné</c:v>
                </c:pt>
              </c:strCache>
            </c:strRef>
          </c:cat>
          <c:val>
            <c:numRef>
              <c:f>FORMULAIRE!$C$881:$E$881</c:f>
              <c:numCache>
                <c:formatCode>General</c:formatCode>
                <c:ptCount val="3"/>
                <c:pt idx="0">
                  <c:v>75</c:v>
                </c:pt>
                <c:pt idx="1">
                  <c:v>72</c:v>
                </c:pt>
                <c:pt idx="2" formatCode="0">
                  <c:v>57</c:v>
                </c:pt>
              </c:numCache>
            </c:numRef>
          </c:val>
          <c:extLst>
            <c:ext xmlns:c16="http://schemas.microsoft.com/office/drawing/2014/chart" uri="{C3380CC4-5D6E-409C-BE32-E72D297353CC}">
              <c16:uniqueId val="{00000006-4490-4381-ACDF-2CBBEAF1CBFF}"/>
            </c:ext>
          </c:extLst>
        </c:ser>
        <c:ser>
          <c:idx val="7"/>
          <c:order val="7"/>
          <c:tx>
            <c:strRef>
              <c:f>FORMULAIRE!$B$882</c:f>
              <c:strCache>
                <c:ptCount val="1"/>
                <c:pt idx="0">
                  <c:v>Accès aux informations d'identification</c:v>
                </c:pt>
              </c:strCache>
            </c:strRef>
          </c:tx>
          <c:spPr>
            <a:solidFill>
              <a:schemeClr val="accent2">
                <a:lumMod val="60000"/>
              </a:schemeClr>
            </a:solidFill>
            <a:ln>
              <a:solidFill>
                <a:schemeClr val="accent2">
                  <a:lumMod val="60000"/>
                  <a:lumMod val="75000"/>
                </a:schemeClr>
              </a:solidFill>
            </a:ln>
            <a:effectLst/>
            <a:scene3d>
              <a:camera prst="orthographicFront"/>
              <a:lightRig rig="threePt" dir="t"/>
            </a:scene3d>
            <a:sp3d prstMaterial="translucentPowder">
              <a:contourClr>
                <a:schemeClr val="accent2">
                  <a:lumMod val="60000"/>
                  <a:lumMod val="75000"/>
                </a:schemeClr>
              </a:contourClr>
            </a:sp3d>
          </c:spPr>
          <c:invertIfNegative val="0"/>
          <c:cat>
            <c:strRef>
              <c:f>FORMULAIRE!$C$874:$E$874</c:f>
              <c:strCache>
                <c:ptCount val="3"/>
                <c:pt idx="0">
                  <c:v>Oui</c:v>
                </c:pt>
                <c:pt idx="1">
                  <c:v>Non</c:v>
                </c:pt>
                <c:pt idx="2">
                  <c:v>Non-Concerné</c:v>
                </c:pt>
              </c:strCache>
            </c:strRef>
          </c:cat>
          <c:val>
            <c:numRef>
              <c:f>FORMULAIRE!$C$882:$E$882</c:f>
              <c:numCache>
                <c:formatCode>General</c:formatCode>
                <c:ptCount val="3"/>
                <c:pt idx="0">
                  <c:v>6</c:v>
                </c:pt>
                <c:pt idx="1">
                  <c:v>23</c:v>
                </c:pt>
                <c:pt idx="2" formatCode="0">
                  <c:v>38</c:v>
                </c:pt>
              </c:numCache>
            </c:numRef>
          </c:val>
          <c:extLst>
            <c:ext xmlns:c16="http://schemas.microsoft.com/office/drawing/2014/chart" uri="{C3380CC4-5D6E-409C-BE32-E72D297353CC}">
              <c16:uniqueId val="{00000007-4490-4381-ACDF-2CBBEAF1CBFF}"/>
            </c:ext>
          </c:extLst>
        </c:ser>
        <c:ser>
          <c:idx val="8"/>
          <c:order val="8"/>
          <c:tx>
            <c:strRef>
              <c:f>FORMULAIRE!$B$883</c:f>
              <c:strCache>
                <c:ptCount val="1"/>
                <c:pt idx="0">
                  <c:v>Découverte</c:v>
                </c:pt>
              </c:strCache>
            </c:strRef>
          </c:tx>
          <c:spPr>
            <a:solidFill>
              <a:schemeClr val="accent3">
                <a:lumMod val="60000"/>
              </a:schemeClr>
            </a:solidFill>
            <a:ln>
              <a:solidFill>
                <a:schemeClr val="accent3">
                  <a:lumMod val="60000"/>
                  <a:lumMod val="75000"/>
                </a:schemeClr>
              </a:solidFill>
            </a:ln>
            <a:effectLst/>
            <a:scene3d>
              <a:camera prst="orthographicFront"/>
              <a:lightRig rig="threePt" dir="t"/>
            </a:scene3d>
            <a:sp3d prstMaterial="translucentPowder">
              <a:contourClr>
                <a:schemeClr val="accent3">
                  <a:lumMod val="60000"/>
                  <a:lumMod val="75000"/>
                </a:schemeClr>
              </a:contourClr>
            </a:sp3d>
          </c:spPr>
          <c:invertIfNegative val="0"/>
          <c:cat>
            <c:strRef>
              <c:f>FORMULAIRE!$C$874:$E$874</c:f>
              <c:strCache>
                <c:ptCount val="3"/>
                <c:pt idx="0">
                  <c:v>Oui</c:v>
                </c:pt>
                <c:pt idx="1">
                  <c:v>Non</c:v>
                </c:pt>
                <c:pt idx="2">
                  <c:v>Non-Concerné</c:v>
                </c:pt>
              </c:strCache>
            </c:strRef>
          </c:cat>
          <c:val>
            <c:numRef>
              <c:f>FORMULAIRE!$C$883:$E$883</c:f>
              <c:numCache>
                <c:formatCode>General</c:formatCode>
                <c:ptCount val="3"/>
                <c:pt idx="0">
                  <c:v>11</c:v>
                </c:pt>
                <c:pt idx="1">
                  <c:v>13</c:v>
                </c:pt>
                <c:pt idx="2" formatCode="0">
                  <c:v>22</c:v>
                </c:pt>
              </c:numCache>
            </c:numRef>
          </c:val>
          <c:extLst>
            <c:ext xmlns:c16="http://schemas.microsoft.com/office/drawing/2014/chart" uri="{C3380CC4-5D6E-409C-BE32-E72D297353CC}">
              <c16:uniqueId val="{00000008-4490-4381-ACDF-2CBBEAF1CBFF}"/>
            </c:ext>
          </c:extLst>
        </c:ser>
        <c:ser>
          <c:idx val="9"/>
          <c:order val="9"/>
          <c:tx>
            <c:strRef>
              <c:f>FORMULAIRE!$B$884</c:f>
              <c:strCache>
                <c:ptCount val="1"/>
                <c:pt idx="0">
                  <c:v>Mouvement latéral</c:v>
                </c:pt>
              </c:strCache>
            </c:strRef>
          </c:tx>
          <c:spPr>
            <a:solidFill>
              <a:schemeClr val="accent4">
                <a:lumMod val="60000"/>
              </a:schemeClr>
            </a:solidFill>
            <a:ln>
              <a:solidFill>
                <a:schemeClr val="accent4">
                  <a:lumMod val="60000"/>
                  <a:lumMod val="75000"/>
                </a:schemeClr>
              </a:solidFill>
            </a:ln>
            <a:effectLst/>
            <a:scene3d>
              <a:camera prst="orthographicFront"/>
              <a:lightRig rig="threePt" dir="t"/>
            </a:scene3d>
            <a:sp3d prstMaterial="translucentPowder">
              <a:contourClr>
                <a:schemeClr val="accent4">
                  <a:lumMod val="60000"/>
                  <a:lumMod val="75000"/>
                </a:schemeClr>
              </a:contourClr>
            </a:sp3d>
          </c:spPr>
          <c:invertIfNegative val="0"/>
          <c:cat>
            <c:strRef>
              <c:f>FORMULAIRE!$C$874:$E$874</c:f>
              <c:strCache>
                <c:ptCount val="3"/>
                <c:pt idx="0">
                  <c:v>Oui</c:v>
                </c:pt>
                <c:pt idx="1">
                  <c:v>Non</c:v>
                </c:pt>
                <c:pt idx="2">
                  <c:v>Non-Concerné</c:v>
                </c:pt>
              </c:strCache>
            </c:strRef>
          </c:cat>
          <c:val>
            <c:numRef>
              <c:f>FORMULAIRE!$C$884:$E$884</c:f>
              <c:numCache>
                <c:formatCode>General</c:formatCode>
                <c:ptCount val="3"/>
                <c:pt idx="0">
                  <c:v>18</c:v>
                </c:pt>
                <c:pt idx="1">
                  <c:v>0</c:v>
                </c:pt>
                <c:pt idx="2" formatCode="0">
                  <c:v>5</c:v>
                </c:pt>
              </c:numCache>
            </c:numRef>
          </c:val>
          <c:extLst>
            <c:ext xmlns:c16="http://schemas.microsoft.com/office/drawing/2014/chart" uri="{C3380CC4-5D6E-409C-BE32-E72D297353CC}">
              <c16:uniqueId val="{00000009-4490-4381-ACDF-2CBBEAF1CBFF}"/>
            </c:ext>
          </c:extLst>
        </c:ser>
        <c:ser>
          <c:idx val="10"/>
          <c:order val="10"/>
          <c:tx>
            <c:strRef>
              <c:f>FORMULAIRE!$B$885</c:f>
              <c:strCache>
                <c:ptCount val="1"/>
                <c:pt idx="0">
                  <c:v>Collection</c:v>
                </c:pt>
              </c:strCache>
            </c:strRef>
          </c:tx>
          <c:spPr>
            <a:solidFill>
              <a:schemeClr val="accent5">
                <a:lumMod val="60000"/>
              </a:schemeClr>
            </a:solidFill>
            <a:ln>
              <a:solidFill>
                <a:schemeClr val="accent5">
                  <a:lumMod val="60000"/>
                  <a:lumMod val="75000"/>
                </a:schemeClr>
              </a:solidFill>
            </a:ln>
            <a:effectLst/>
            <a:scene3d>
              <a:camera prst="orthographicFront"/>
              <a:lightRig rig="threePt" dir="t"/>
            </a:scene3d>
            <a:sp3d prstMaterial="translucentPowder">
              <a:contourClr>
                <a:schemeClr val="accent5">
                  <a:lumMod val="60000"/>
                  <a:lumMod val="75000"/>
                </a:schemeClr>
              </a:contourClr>
            </a:sp3d>
          </c:spPr>
          <c:invertIfNegative val="0"/>
          <c:cat>
            <c:strRef>
              <c:f>FORMULAIRE!$C$874:$E$874</c:f>
              <c:strCache>
                <c:ptCount val="3"/>
                <c:pt idx="0">
                  <c:v>Oui</c:v>
                </c:pt>
                <c:pt idx="1">
                  <c:v>Non</c:v>
                </c:pt>
                <c:pt idx="2">
                  <c:v>Non-Concerné</c:v>
                </c:pt>
              </c:strCache>
            </c:strRef>
          </c:cat>
          <c:val>
            <c:numRef>
              <c:f>FORMULAIRE!$C$885:$E$885</c:f>
              <c:numCache>
                <c:formatCode>General</c:formatCode>
                <c:ptCount val="3"/>
                <c:pt idx="0">
                  <c:v>34</c:v>
                </c:pt>
                <c:pt idx="1">
                  <c:v>6</c:v>
                </c:pt>
                <c:pt idx="2" formatCode="0">
                  <c:v>0</c:v>
                </c:pt>
              </c:numCache>
            </c:numRef>
          </c:val>
          <c:extLst>
            <c:ext xmlns:c16="http://schemas.microsoft.com/office/drawing/2014/chart" uri="{C3380CC4-5D6E-409C-BE32-E72D297353CC}">
              <c16:uniqueId val="{0000000A-4490-4381-ACDF-2CBBEAF1CBFF}"/>
            </c:ext>
          </c:extLst>
        </c:ser>
        <c:ser>
          <c:idx val="11"/>
          <c:order val="11"/>
          <c:tx>
            <c:strRef>
              <c:f>FORMULAIRE!$B$886</c:f>
              <c:strCache>
                <c:ptCount val="1"/>
                <c:pt idx="0">
                  <c:v>Commande et contrôle</c:v>
                </c:pt>
              </c:strCache>
            </c:strRef>
          </c:tx>
          <c:spPr>
            <a:solidFill>
              <a:schemeClr val="accent6">
                <a:lumMod val="60000"/>
              </a:schemeClr>
            </a:solidFill>
            <a:ln>
              <a:solidFill>
                <a:schemeClr val="accent6">
                  <a:lumMod val="60000"/>
                  <a:lumMod val="75000"/>
                </a:schemeClr>
              </a:solidFill>
            </a:ln>
            <a:effectLst/>
            <a:scene3d>
              <a:camera prst="orthographicFront"/>
              <a:lightRig rig="threePt" dir="t"/>
            </a:scene3d>
            <a:sp3d prstMaterial="translucentPowder">
              <a:contourClr>
                <a:schemeClr val="accent6">
                  <a:lumMod val="60000"/>
                  <a:lumMod val="75000"/>
                </a:schemeClr>
              </a:contourClr>
            </a:sp3d>
          </c:spPr>
          <c:invertIfNegative val="0"/>
          <c:cat>
            <c:strRef>
              <c:f>FORMULAIRE!$C$874:$E$874</c:f>
              <c:strCache>
                <c:ptCount val="3"/>
                <c:pt idx="0">
                  <c:v>Oui</c:v>
                </c:pt>
                <c:pt idx="1">
                  <c:v>Non</c:v>
                </c:pt>
                <c:pt idx="2">
                  <c:v>Non-Concerné</c:v>
                </c:pt>
              </c:strCache>
            </c:strRef>
          </c:cat>
          <c:val>
            <c:numRef>
              <c:f>FORMULAIRE!$C$886:$E$886</c:f>
              <c:numCache>
                <c:formatCode>General</c:formatCode>
                <c:ptCount val="3"/>
                <c:pt idx="0">
                  <c:v>21</c:v>
                </c:pt>
                <c:pt idx="1">
                  <c:v>12</c:v>
                </c:pt>
                <c:pt idx="2" formatCode="0">
                  <c:v>9</c:v>
                </c:pt>
              </c:numCache>
            </c:numRef>
          </c:val>
          <c:extLst>
            <c:ext xmlns:c16="http://schemas.microsoft.com/office/drawing/2014/chart" uri="{C3380CC4-5D6E-409C-BE32-E72D297353CC}">
              <c16:uniqueId val="{0000000B-4490-4381-ACDF-2CBBEAF1CBFF}"/>
            </c:ext>
          </c:extLst>
        </c:ser>
        <c:ser>
          <c:idx val="12"/>
          <c:order val="12"/>
          <c:tx>
            <c:strRef>
              <c:f>FORMULAIRE!$B$887</c:f>
              <c:strCache>
                <c:ptCount val="1"/>
                <c:pt idx="0">
                  <c:v>Exfiltration</c:v>
                </c:pt>
              </c:strCache>
            </c:strRef>
          </c:tx>
          <c:spPr>
            <a:solidFill>
              <a:schemeClr val="accent1">
                <a:lumMod val="80000"/>
                <a:lumOff val="20000"/>
              </a:schemeClr>
            </a:solidFill>
            <a:ln>
              <a:solidFill>
                <a:schemeClr val="accent1">
                  <a:lumMod val="80000"/>
                  <a:lumOff val="20000"/>
                  <a:lumMod val="75000"/>
                </a:schemeClr>
              </a:solidFill>
            </a:ln>
            <a:effectLst/>
            <a:scene3d>
              <a:camera prst="orthographicFront"/>
              <a:lightRig rig="threePt" dir="t"/>
            </a:scene3d>
            <a:sp3d prstMaterial="translucentPowder">
              <a:contourClr>
                <a:schemeClr val="accent1">
                  <a:lumMod val="80000"/>
                  <a:lumOff val="20000"/>
                  <a:lumMod val="75000"/>
                </a:schemeClr>
              </a:contourClr>
            </a:sp3d>
          </c:spPr>
          <c:invertIfNegative val="0"/>
          <c:cat>
            <c:strRef>
              <c:f>FORMULAIRE!$C$874:$E$874</c:f>
              <c:strCache>
                <c:ptCount val="3"/>
                <c:pt idx="0">
                  <c:v>Oui</c:v>
                </c:pt>
                <c:pt idx="1">
                  <c:v>Non</c:v>
                </c:pt>
                <c:pt idx="2">
                  <c:v>Non-Concerné</c:v>
                </c:pt>
              </c:strCache>
            </c:strRef>
          </c:cat>
          <c:val>
            <c:numRef>
              <c:f>FORMULAIRE!$C$887:$E$887</c:f>
              <c:numCache>
                <c:formatCode>General</c:formatCode>
                <c:ptCount val="3"/>
                <c:pt idx="0">
                  <c:v>9</c:v>
                </c:pt>
                <c:pt idx="1">
                  <c:v>1</c:v>
                </c:pt>
                <c:pt idx="2" formatCode="0">
                  <c:v>9</c:v>
                </c:pt>
              </c:numCache>
            </c:numRef>
          </c:val>
          <c:extLst>
            <c:ext xmlns:c16="http://schemas.microsoft.com/office/drawing/2014/chart" uri="{C3380CC4-5D6E-409C-BE32-E72D297353CC}">
              <c16:uniqueId val="{0000000C-4490-4381-ACDF-2CBBEAF1CBFF}"/>
            </c:ext>
          </c:extLst>
        </c:ser>
        <c:ser>
          <c:idx val="13"/>
          <c:order val="13"/>
          <c:tx>
            <c:strRef>
              <c:f>FORMULAIRE!$B$888</c:f>
              <c:strCache>
                <c:ptCount val="1"/>
                <c:pt idx="0">
                  <c:v>Impact</c:v>
                </c:pt>
              </c:strCache>
            </c:strRef>
          </c:tx>
          <c:spPr>
            <a:solidFill>
              <a:schemeClr val="accent2">
                <a:lumMod val="80000"/>
                <a:lumOff val="20000"/>
              </a:schemeClr>
            </a:solidFill>
            <a:ln>
              <a:solidFill>
                <a:schemeClr val="accent2">
                  <a:lumMod val="80000"/>
                  <a:lumOff val="20000"/>
                  <a:lumMod val="75000"/>
                </a:schemeClr>
              </a:solidFill>
            </a:ln>
            <a:effectLst/>
            <a:scene3d>
              <a:camera prst="orthographicFront"/>
              <a:lightRig rig="threePt" dir="t"/>
            </a:scene3d>
            <a:sp3d prstMaterial="translucentPowder">
              <a:contourClr>
                <a:schemeClr val="accent2">
                  <a:lumMod val="80000"/>
                  <a:lumOff val="20000"/>
                  <a:lumMod val="75000"/>
                </a:schemeClr>
              </a:contourClr>
            </a:sp3d>
          </c:spPr>
          <c:invertIfNegative val="0"/>
          <c:cat>
            <c:strRef>
              <c:f>FORMULAIRE!$C$874:$E$874</c:f>
              <c:strCache>
                <c:ptCount val="3"/>
                <c:pt idx="0">
                  <c:v>Oui</c:v>
                </c:pt>
                <c:pt idx="1">
                  <c:v>Non</c:v>
                </c:pt>
                <c:pt idx="2">
                  <c:v>Non-Concerné</c:v>
                </c:pt>
              </c:strCache>
            </c:strRef>
          </c:cat>
          <c:val>
            <c:numRef>
              <c:f>FORMULAIRE!$C$888:$E$888</c:f>
              <c:numCache>
                <c:formatCode>General</c:formatCode>
                <c:ptCount val="3"/>
                <c:pt idx="0">
                  <c:v>25</c:v>
                </c:pt>
                <c:pt idx="1">
                  <c:v>3</c:v>
                </c:pt>
                <c:pt idx="2" formatCode="0">
                  <c:v>4</c:v>
                </c:pt>
              </c:numCache>
            </c:numRef>
          </c:val>
          <c:extLst>
            <c:ext xmlns:c16="http://schemas.microsoft.com/office/drawing/2014/chart" uri="{C3380CC4-5D6E-409C-BE32-E72D297353CC}">
              <c16:uniqueId val="{0000000D-4490-4381-ACDF-2CBBEAF1CBFF}"/>
            </c:ext>
          </c:extLst>
        </c:ser>
        <c:dLbls>
          <c:showLegendKey val="0"/>
          <c:showVal val="0"/>
          <c:showCatName val="0"/>
          <c:showSerName val="0"/>
          <c:showPercent val="0"/>
          <c:showBubbleSize val="0"/>
        </c:dLbls>
        <c:gapWidth val="150"/>
        <c:shape val="box"/>
        <c:axId val="493172943"/>
        <c:axId val="493173903"/>
        <c:axId val="0"/>
      </c:bar3DChart>
      <c:catAx>
        <c:axId val="49317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493173903"/>
        <c:crosses val="autoZero"/>
        <c:auto val="1"/>
        <c:lblAlgn val="ctr"/>
        <c:lblOffset val="100"/>
        <c:noMultiLvlLbl val="0"/>
      </c:catAx>
      <c:valAx>
        <c:axId val="4931739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493172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Résultats positifs par groupement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FORMULAIRE!$C$874</c:f>
              <c:strCache>
                <c:ptCount val="1"/>
                <c:pt idx="0">
                  <c:v>Oui</c:v>
                </c:pt>
              </c:strCache>
            </c:strRef>
          </c:tx>
          <c:spPr>
            <a:solidFill>
              <a:schemeClr val="accent3"/>
            </a:solidFill>
            <a:ln>
              <a:noFill/>
            </a:ln>
            <a:effectLst/>
          </c:spPr>
          <c:invertIfNegative val="0"/>
          <c:cat>
            <c:strRef>
              <c:f>FORMULAIRE!$B$875:$B$888</c:f>
              <c:strCache>
                <c:ptCount val="14"/>
                <c:pt idx="0">
                  <c:v>Reconnaissance</c:v>
                </c:pt>
                <c:pt idx="1">
                  <c:v>Développement des ressources</c:v>
                </c:pt>
                <c:pt idx="2">
                  <c:v>Accès initial</c:v>
                </c:pt>
                <c:pt idx="3">
                  <c:v>Exécution</c:v>
                </c:pt>
                <c:pt idx="4">
                  <c:v>Persistance</c:v>
                </c:pt>
                <c:pt idx="5">
                  <c:v>Élévation des privilèges</c:v>
                </c:pt>
                <c:pt idx="6">
                  <c:v>Évasion défensive</c:v>
                </c:pt>
                <c:pt idx="7">
                  <c:v>Accès aux informations d'identification</c:v>
                </c:pt>
                <c:pt idx="8">
                  <c:v>Découverte</c:v>
                </c:pt>
                <c:pt idx="9">
                  <c:v>Mouvement latéral</c:v>
                </c:pt>
                <c:pt idx="10">
                  <c:v>Collection</c:v>
                </c:pt>
                <c:pt idx="11">
                  <c:v>Commande et contrôle</c:v>
                </c:pt>
                <c:pt idx="12">
                  <c:v>Exfiltration</c:v>
                </c:pt>
                <c:pt idx="13">
                  <c:v>Impact</c:v>
                </c:pt>
              </c:strCache>
            </c:strRef>
          </c:cat>
          <c:val>
            <c:numRef>
              <c:f>FORMULAIRE!$C$875:$C$888</c:f>
              <c:numCache>
                <c:formatCode>General</c:formatCode>
                <c:ptCount val="14"/>
                <c:pt idx="0">
                  <c:v>8</c:v>
                </c:pt>
                <c:pt idx="1">
                  <c:v>10</c:v>
                </c:pt>
                <c:pt idx="2">
                  <c:v>11</c:v>
                </c:pt>
                <c:pt idx="3">
                  <c:v>19</c:v>
                </c:pt>
                <c:pt idx="4">
                  <c:v>35</c:v>
                </c:pt>
                <c:pt idx="5">
                  <c:v>27</c:v>
                </c:pt>
                <c:pt idx="6">
                  <c:v>75</c:v>
                </c:pt>
                <c:pt idx="7">
                  <c:v>6</c:v>
                </c:pt>
                <c:pt idx="8">
                  <c:v>11</c:v>
                </c:pt>
                <c:pt idx="9">
                  <c:v>18</c:v>
                </c:pt>
                <c:pt idx="10">
                  <c:v>34</c:v>
                </c:pt>
                <c:pt idx="11">
                  <c:v>21</c:v>
                </c:pt>
                <c:pt idx="12">
                  <c:v>9</c:v>
                </c:pt>
                <c:pt idx="13">
                  <c:v>25</c:v>
                </c:pt>
              </c:numCache>
            </c:numRef>
          </c:val>
          <c:extLst>
            <c:ext xmlns:c16="http://schemas.microsoft.com/office/drawing/2014/chart" uri="{C3380CC4-5D6E-409C-BE32-E72D297353CC}">
              <c16:uniqueId val="{00000000-4DA1-46CB-AF44-C62879EA7B07}"/>
            </c:ext>
          </c:extLst>
        </c:ser>
        <c:dLbls>
          <c:showLegendKey val="0"/>
          <c:showVal val="0"/>
          <c:showCatName val="0"/>
          <c:showSerName val="0"/>
          <c:showPercent val="0"/>
          <c:showBubbleSize val="0"/>
        </c:dLbls>
        <c:gapWidth val="326"/>
        <c:overlap val="-58"/>
        <c:axId val="493169311"/>
        <c:axId val="493170271"/>
      </c:barChart>
      <c:catAx>
        <c:axId val="49316931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3170271"/>
        <c:crosses val="autoZero"/>
        <c:auto val="1"/>
        <c:lblAlgn val="ctr"/>
        <c:lblOffset val="100"/>
        <c:noMultiLvlLbl val="0"/>
      </c:catAx>
      <c:valAx>
        <c:axId val="49317027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3169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rPr>
              <a:t>Résultats NEGATIFS par groupement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fr-FR"/>
        </a:p>
      </c:txPr>
    </c:title>
    <c:autoTitleDeleted val="0"/>
    <c:plotArea>
      <c:layout/>
      <c:barChart>
        <c:barDir val="bar"/>
        <c:grouping val="clustered"/>
        <c:varyColors val="0"/>
        <c:ser>
          <c:idx val="0"/>
          <c:order val="0"/>
          <c:tx>
            <c:strRef>
              <c:f>FORMULAIRE!$D$874</c:f>
              <c:strCache>
                <c:ptCount val="1"/>
                <c:pt idx="0">
                  <c:v>Non</c:v>
                </c:pt>
              </c:strCache>
            </c:strRef>
          </c:tx>
          <c:spPr>
            <a:solidFill>
              <a:srgbClr val="C00000"/>
            </a:solidFill>
            <a:ln>
              <a:noFill/>
            </a:ln>
            <a:effectLst/>
          </c:spPr>
          <c:invertIfNegative val="0"/>
          <c:cat>
            <c:strRef>
              <c:f>FORMULAIRE!$B$875:$B$888</c:f>
              <c:strCache>
                <c:ptCount val="14"/>
                <c:pt idx="0">
                  <c:v>Reconnaissance</c:v>
                </c:pt>
                <c:pt idx="1">
                  <c:v>Développement des ressources</c:v>
                </c:pt>
                <c:pt idx="2">
                  <c:v>Accès initial</c:v>
                </c:pt>
                <c:pt idx="3">
                  <c:v>Exécution</c:v>
                </c:pt>
                <c:pt idx="4">
                  <c:v>Persistance</c:v>
                </c:pt>
                <c:pt idx="5">
                  <c:v>Élévation des privilèges</c:v>
                </c:pt>
                <c:pt idx="6">
                  <c:v>Évasion défensive</c:v>
                </c:pt>
                <c:pt idx="7">
                  <c:v>Accès aux informations d'identification</c:v>
                </c:pt>
                <c:pt idx="8">
                  <c:v>Découverte</c:v>
                </c:pt>
                <c:pt idx="9">
                  <c:v>Mouvement latéral</c:v>
                </c:pt>
                <c:pt idx="10">
                  <c:v>Collection</c:v>
                </c:pt>
                <c:pt idx="11">
                  <c:v>Commande et contrôle</c:v>
                </c:pt>
                <c:pt idx="12">
                  <c:v>Exfiltration</c:v>
                </c:pt>
                <c:pt idx="13">
                  <c:v>Impact</c:v>
                </c:pt>
              </c:strCache>
            </c:strRef>
          </c:cat>
          <c:val>
            <c:numRef>
              <c:f>FORMULAIRE!$D$875:$D$888</c:f>
              <c:numCache>
                <c:formatCode>General</c:formatCode>
                <c:ptCount val="14"/>
                <c:pt idx="0">
                  <c:v>20</c:v>
                </c:pt>
                <c:pt idx="1">
                  <c:v>7</c:v>
                </c:pt>
                <c:pt idx="2">
                  <c:v>0</c:v>
                </c:pt>
                <c:pt idx="3">
                  <c:v>9</c:v>
                </c:pt>
                <c:pt idx="4">
                  <c:v>37</c:v>
                </c:pt>
                <c:pt idx="5">
                  <c:v>49</c:v>
                </c:pt>
                <c:pt idx="6">
                  <c:v>72</c:v>
                </c:pt>
                <c:pt idx="7">
                  <c:v>23</c:v>
                </c:pt>
                <c:pt idx="8">
                  <c:v>13</c:v>
                </c:pt>
                <c:pt idx="9">
                  <c:v>0</c:v>
                </c:pt>
                <c:pt idx="10">
                  <c:v>6</c:v>
                </c:pt>
                <c:pt idx="11">
                  <c:v>12</c:v>
                </c:pt>
                <c:pt idx="12">
                  <c:v>1</c:v>
                </c:pt>
                <c:pt idx="13">
                  <c:v>3</c:v>
                </c:pt>
              </c:numCache>
            </c:numRef>
          </c:val>
          <c:extLst>
            <c:ext xmlns:c16="http://schemas.microsoft.com/office/drawing/2014/chart" uri="{C3380CC4-5D6E-409C-BE32-E72D297353CC}">
              <c16:uniqueId val="{00000000-E9DE-4F02-8139-A91BBB55561E}"/>
            </c:ext>
          </c:extLst>
        </c:ser>
        <c:dLbls>
          <c:showLegendKey val="0"/>
          <c:showVal val="0"/>
          <c:showCatName val="0"/>
          <c:showSerName val="0"/>
          <c:showPercent val="0"/>
          <c:showBubbleSize val="0"/>
        </c:dLbls>
        <c:gapWidth val="182"/>
        <c:axId val="875557039"/>
        <c:axId val="875550799"/>
      </c:barChart>
      <c:catAx>
        <c:axId val="87555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75550799"/>
        <c:crosses val="autoZero"/>
        <c:auto val="1"/>
        <c:lblAlgn val="ctr"/>
        <c:lblOffset val="100"/>
        <c:noMultiLvlLbl val="0"/>
      </c:catAx>
      <c:valAx>
        <c:axId val="875550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75557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Valeur "Non-Concerné" relevée dans le formulaire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fr-FR"/>
        </a:p>
      </c:txPr>
    </c:title>
    <c:autoTitleDeleted val="0"/>
    <c:plotArea>
      <c:layout/>
      <c:barChart>
        <c:barDir val="bar"/>
        <c:grouping val="clustered"/>
        <c:varyColors val="0"/>
        <c:ser>
          <c:idx val="0"/>
          <c:order val="0"/>
          <c:tx>
            <c:strRef>
              <c:f>FORMULAIRE!$E$874</c:f>
              <c:strCache>
                <c:ptCount val="1"/>
                <c:pt idx="0">
                  <c:v>Non-Concerné</c:v>
                </c:pt>
              </c:strCache>
            </c:strRef>
          </c:tx>
          <c:spPr>
            <a:solidFill>
              <a:srgbClr val="FFC000"/>
            </a:solidFill>
            <a:ln>
              <a:noFill/>
            </a:ln>
            <a:effectLst/>
          </c:spPr>
          <c:invertIfNegative val="0"/>
          <c:dPt>
            <c:idx val="13"/>
            <c:invertIfNegative val="0"/>
            <c:bubble3D val="0"/>
            <c:spPr>
              <a:solidFill>
                <a:srgbClr val="FFC000"/>
              </a:solidFill>
              <a:ln>
                <a:noFill/>
              </a:ln>
              <a:effectLst/>
            </c:spPr>
            <c:extLst>
              <c:ext xmlns:c16="http://schemas.microsoft.com/office/drawing/2014/chart" uri="{C3380CC4-5D6E-409C-BE32-E72D297353CC}">
                <c16:uniqueId val="{00000001-6E8F-4C2B-A329-16181AA384C9}"/>
              </c:ext>
            </c:extLst>
          </c:dPt>
          <c:cat>
            <c:strRef>
              <c:f>FORMULAIRE!$B$875:$B$888</c:f>
              <c:strCache>
                <c:ptCount val="14"/>
                <c:pt idx="0">
                  <c:v>Reconnaissance</c:v>
                </c:pt>
                <c:pt idx="1">
                  <c:v>Développement des ressources</c:v>
                </c:pt>
                <c:pt idx="2">
                  <c:v>Accès initial</c:v>
                </c:pt>
                <c:pt idx="3">
                  <c:v>Exécution</c:v>
                </c:pt>
                <c:pt idx="4">
                  <c:v>Persistance</c:v>
                </c:pt>
                <c:pt idx="5">
                  <c:v>Élévation des privilèges</c:v>
                </c:pt>
                <c:pt idx="6">
                  <c:v>Évasion défensive</c:v>
                </c:pt>
                <c:pt idx="7">
                  <c:v>Accès aux informations d'identification</c:v>
                </c:pt>
                <c:pt idx="8">
                  <c:v>Découverte</c:v>
                </c:pt>
                <c:pt idx="9">
                  <c:v>Mouvement latéral</c:v>
                </c:pt>
                <c:pt idx="10">
                  <c:v>Collection</c:v>
                </c:pt>
                <c:pt idx="11">
                  <c:v>Commande et contrôle</c:v>
                </c:pt>
                <c:pt idx="12">
                  <c:v>Exfiltration</c:v>
                </c:pt>
                <c:pt idx="13">
                  <c:v>Impact</c:v>
                </c:pt>
              </c:strCache>
            </c:strRef>
          </c:cat>
          <c:val>
            <c:numRef>
              <c:f>FORMULAIRE!$E$875:$E$888</c:f>
              <c:numCache>
                <c:formatCode>0</c:formatCode>
                <c:ptCount val="14"/>
                <c:pt idx="0">
                  <c:v>16</c:v>
                </c:pt>
                <c:pt idx="1">
                  <c:v>30</c:v>
                </c:pt>
                <c:pt idx="2">
                  <c:v>10</c:v>
                </c:pt>
                <c:pt idx="3">
                  <c:v>10</c:v>
                </c:pt>
                <c:pt idx="4">
                  <c:v>48</c:v>
                </c:pt>
                <c:pt idx="5">
                  <c:v>33</c:v>
                </c:pt>
                <c:pt idx="6">
                  <c:v>57</c:v>
                </c:pt>
                <c:pt idx="7">
                  <c:v>38</c:v>
                </c:pt>
                <c:pt idx="8">
                  <c:v>22</c:v>
                </c:pt>
                <c:pt idx="9">
                  <c:v>5</c:v>
                </c:pt>
                <c:pt idx="10">
                  <c:v>0</c:v>
                </c:pt>
                <c:pt idx="11">
                  <c:v>9</c:v>
                </c:pt>
                <c:pt idx="12">
                  <c:v>9</c:v>
                </c:pt>
                <c:pt idx="13">
                  <c:v>4</c:v>
                </c:pt>
              </c:numCache>
            </c:numRef>
          </c:val>
          <c:extLst>
            <c:ext xmlns:c16="http://schemas.microsoft.com/office/drawing/2014/chart" uri="{C3380CC4-5D6E-409C-BE32-E72D297353CC}">
              <c16:uniqueId val="{00000000-6E8F-4C2B-A329-16181AA384C9}"/>
            </c:ext>
          </c:extLst>
        </c:ser>
        <c:dLbls>
          <c:showLegendKey val="0"/>
          <c:showVal val="0"/>
          <c:showCatName val="0"/>
          <c:showSerName val="0"/>
          <c:showPercent val="0"/>
          <c:showBubbleSize val="0"/>
        </c:dLbls>
        <c:gapWidth val="182"/>
        <c:axId val="364185439"/>
        <c:axId val="364186399"/>
      </c:barChart>
      <c:catAx>
        <c:axId val="36418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4186399"/>
        <c:crosses val="autoZero"/>
        <c:auto val="1"/>
        <c:lblAlgn val="ctr"/>
        <c:lblOffset val="100"/>
        <c:noMultiLvlLbl val="0"/>
      </c:catAx>
      <c:valAx>
        <c:axId val="3641863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64185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27</xdr:row>
      <xdr:rowOff>19050</xdr:rowOff>
    </xdr:from>
    <xdr:to>
      <xdr:col>6</xdr:col>
      <xdr:colOff>6146192</xdr:colOff>
      <xdr:row>74</xdr:row>
      <xdr:rowOff>182310</xdr:rowOff>
    </xdr:to>
    <xdr:pic>
      <xdr:nvPicPr>
        <xdr:cNvPr id="2" name="Image 1">
          <a:extLst>
            <a:ext uri="{FF2B5EF4-FFF2-40B4-BE49-F238E27FC236}">
              <a16:creationId xmlns:a16="http://schemas.microsoft.com/office/drawing/2014/main" id="{A5D68314-A6F5-4A63-C116-E1F170CD6689}"/>
            </a:ext>
          </a:extLst>
        </xdr:cNvPr>
        <xdr:cNvPicPr>
          <a:picLocks noChangeAspect="1"/>
        </xdr:cNvPicPr>
      </xdr:nvPicPr>
      <xdr:blipFill>
        <a:blip xmlns:r="http://schemas.openxmlformats.org/officeDocument/2006/relationships" r:embed="rId1"/>
        <a:stretch>
          <a:fillRect/>
        </a:stretch>
      </xdr:blipFill>
      <xdr:spPr>
        <a:xfrm>
          <a:off x="9525" y="6819900"/>
          <a:ext cx="18395342" cy="9564435"/>
        </a:xfrm>
        <a:prstGeom prst="rect">
          <a:avLst/>
        </a:prstGeom>
      </xdr:spPr>
    </xdr:pic>
    <xdr:clientData/>
  </xdr:twoCellAnchor>
  <xdr:twoCellAnchor editAs="oneCell">
    <xdr:from>
      <xdr:col>0</xdr:col>
      <xdr:colOff>0</xdr:colOff>
      <xdr:row>74</xdr:row>
      <xdr:rowOff>180975</xdr:rowOff>
    </xdr:from>
    <xdr:to>
      <xdr:col>7</xdr:col>
      <xdr:colOff>2571</xdr:colOff>
      <xdr:row>103</xdr:row>
      <xdr:rowOff>784</xdr:rowOff>
    </xdr:to>
    <xdr:pic>
      <xdr:nvPicPr>
        <xdr:cNvPr id="3" name="Image 2">
          <a:extLst>
            <a:ext uri="{FF2B5EF4-FFF2-40B4-BE49-F238E27FC236}">
              <a16:creationId xmlns:a16="http://schemas.microsoft.com/office/drawing/2014/main" id="{B9329618-E2EB-5C06-6AD5-6E70200BF8BB}"/>
            </a:ext>
          </a:extLst>
        </xdr:cNvPr>
        <xdr:cNvPicPr>
          <a:picLocks noChangeAspect="1"/>
        </xdr:cNvPicPr>
      </xdr:nvPicPr>
      <xdr:blipFill>
        <a:blip xmlns:r="http://schemas.openxmlformats.org/officeDocument/2006/relationships" r:embed="rId2"/>
        <a:stretch>
          <a:fillRect/>
        </a:stretch>
      </xdr:blipFill>
      <xdr:spPr>
        <a:xfrm>
          <a:off x="0" y="16383000"/>
          <a:ext cx="18423921" cy="5620534"/>
        </a:xfrm>
        <a:prstGeom prst="rect">
          <a:avLst/>
        </a:prstGeom>
      </xdr:spPr>
    </xdr:pic>
    <xdr:clientData/>
  </xdr:twoCellAnchor>
  <xdr:twoCellAnchor editAs="oneCell">
    <xdr:from>
      <xdr:col>0</xdr:col>
      <xdr:colOff>0</xdr:colOff>
      <xdr:row>0</xdr:row>
      <xdr:rowOff>76200</xdr:rowOff>
    </xdr:from>
    <xdr:to>
      <xdr:col>4</xdr:col>
      <xdr:colOff>1000125</xdr:colOff>
      <xdr:row>1</xdr:row>
      <xdr:rowOff>276225</xdr:rowOff>
    </xdr:to>
    <xdr:pic>
      <xdr:nvPicPr>
        <xdr:cNvPr id="5" name="Image 4">
          <a:extLst>
            <a:ext uri="{FF2B5EF4-FFF2-40B4-BE49-F238E27FC236}">
              <a16:creationId xmlns:a16="http://schemas.microsoft.com/office/drawing/2014/main" id="{D1926AB7-0F2B-96BB-AA81-1F4AC95AF9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
          <a:ext cx="1134427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5603</xdr:colOff>
      <xdr:row>888</xdr:row>
      <xdr:rowOff>12325</xdr:rowOff>
    </xdr:from>
    <xdr:to>
      <xdr:col>5</xdr:col>
      <xdr:colOff>0</xdr:colOff>
      <xdr:row>915</xdr:row>
      <xdr:rowOff>190499</xdr:rowOff>
    </xdr:to>
    <xdr:graphicFrame macro="">
      <xdr:nvGraphicFramePr>
        <xdr:cNvPr id="2" name="Graphique 1">
          <a:extLst>
            <a:ext uri="{FF2B5EF4-FFF2-40B4-BE49-F238E27FC236}">
              <a16:creationId xmlns:a16="http://schemas.microsoft.com/office/drawing/2014/main" id="{1CF625AA-5579-035C-172A-EB01EA1EA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16807</xdr:colOff>
      <xdr:row>916</xdr:row>
      <xdr:rowOff>1120</xdr:rowOff>
    </xdr:from>
    <xdr:to>
      <xdr:col>4</xdr:col>
      <xdr:colOff>3709146</xdr:colOff>
      <xdr:row>941</xdr:row>
      <xdr:rowOff>11205</xdr:rowOff>
    </xdr:to>
    <xdr:graphicFrame macro="">
      <xdr:nvGraphicFramePr>
        <xdr:cNvPr id="3" name="Graphique 2">
          <a:extLst>
            <a:ext uri="{FF2B5EF4-FFF2-40B4-BE49-F238E27FC236}">
              <a16:creationId xmlns:a16="http://schemas.microsoft.com/office/drawing/2014/main" id="{0E9C96B5-588D-2D04-FE2C-01081DC83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16807</xdr:colOff>
      <xdr:row>941</xdr:row>
      <xdr:rowOff>12325</xdr:rowOff>
    </xdr:from>
    <xdr:to>
      <xdr:col>4</xdr:col>
      <xdr:colOff>3709146</xdr:colOff>
      <xdr:row>967</xdr:row>
      <xdr:rowOff>11206</xdr:rowOff>
    </xdr:to>
    <xdr:graphicFrame macro="">
      <xdr:nvGraphicFramePr>
        <xdr:cNvPr id="4" name="Graphique 3">
          <a:extLst>
            <a:ext uri="{FF2B5EF4-FFF2-40B4-BE49-F238E27FC236}">
              <a16:creationId xmlns:a16="http://schemas.microsoft.com/office/drawing/2014/main" id="{75784DDE-C5DE-FB81-34FA-BAFE8BB9B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16807</xdr:colOff>
      <xdr:row>967</xdr:row>
      <xdr:rowOff>12326</xdr:rowOff>
    </xdr:from>
    <xdr:to>
      <xdr:col>4</xdr:col>
      <xdr:colOff>3709146</xdr:colOff>
      <xdr:row>995</xdr:row>
      <xdr:rowOff>212911</xdr:rowOff>
    </xdr:to>
    <xdr:graphicFrame macro="">
      <xdr:nvGraphicFramePr>
        <xdr:cNvPr id="5" name="Graphique 4">
          <a:extLst>
            <a:ext uri="{FF2B5EF4-FFF2-40B4-BE49-F238E27FC236}">
              <a16:creationId xmlns:a16="http://schemas.microsoft.com/office/drawing/2014/main" id="{1EB37CA1-4F3A-78DD-4754-D3D358B7C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1EC7-E5B4-4974-B218-F9536101125E}">
  <dimension ref="A1:H103"/>
  <sheetViews>
    <sheetView tabSelected="1" workbookViewId="0">
      <selection activeCell="G13" sqref="G13"/>
    </sheetView>
  </sheetViews>
  <sheetFormatPr baseColWidth="10" defaultRowHeight="15.75"/>
  <cols>
    <col min="1" max="1" width="15.140625" style="141" customWidth="1"/>
    <col min="2" max="2" width="27.7109375" style="141" bestFit="1" customWidth="1"/>
    <col min="3" max="3" width="98" style="141" customWidth="1"/>
    <col min="4" max="4" width="14.28515625" style="141" customWidth="1"/>
    <col min="5" max="5" width="17.28515625" style="141" customWidth="1"/>
    <col min="6" max="6" width="11.42578125" style="141"/>
    <col min="7" max="7" width="92.42578125" style="141" customWidth="1"/>
    <col min="8" max="16384" width="11.42578125" style="141"/>
  </cols>
  <sheetData>
    <row r="1" spans="1:7" ht="78.75">
      <c r="A1" s="140"/>
      <c r="B1" s="140"/>
      <c r="C1" s="140"/>
      <c r="D1" s="140"/>
      <c r="E1" s="140"/>
      <c r="F1" s="140"/>
      <c r="G1" s="156" t="s">
        <v>1329</v>
      </c>
    </row>
    <row r="2" spans="1:7" ht="47.25">
      <c r="A2" s="140"/>
      <c r="B2" s="140"/>
      <c r="C2" s="140"/>
      <c r="D2" s="140"/>
      <c r="E2" s="140"/>
      <c r="F2" s="140"/>
      <c r="G2" s="156" t="s">
        <v>1330</v>
      </c>
    </row>
    <row r="4" spans="1:7">
      <c r="A4" s="154" t="s">
        <v>1328</v>
      </c>
      <c r="D4" s="162"/>
      <c r="G4" s="142"/>
    </row>
    <row r="5" spans="1:7">
      <c r="A5" s="141" t="s">
        <v>1331</v>
      </c>
      <c r="D5" s="162"/>
    </row>
    <row r="6" spans="1:7" ht="16.5" thickBot="1">
      <c r="D6" s="162"/>
    </row>
    <row r="7" spans="1:7" ht="59.25" customHeight="1" thickBot="1">
      <c r="A7" s="143" t="s">
        <v>1368</v>
      </c>
      <c r="D7" s="163" t="s">
        <v>1332</v>
      </c>
      <c r="E7" s="161" t="s">
        <v>1373</v>
      </c>
    </row>
    <row r="9" spans="1:7">
      <c r="A9" s="144" t="s">
        <v>1333</v>
      </c>
    </row>
    <row r="10" spans="1:7">
      <c r="A10" s="145" t="s">
        <v>1334</v>
      </c>
      <c r="B10" s="146" t="s">
        <v>1335</v>
      </c>
      <c r="C10" s="147" t="s">
        <v>3</v>
      </c>
    </row>
    <row r="11" spans="1:7">
      <c r="A11" s="148" t="s">
        <v>1336</v>
      </c>
      <c r="B11" s="149" t="s">
        <v>0</v>
      </c>
      <c r="C11" s="150" t="s">
        <v>1337</v>
      </c>
    </row>
    <row r="12" spans="1:7">
      <c r="A12" s="148" t="s">
        <v>1338</v>
      </c>
      <c r="B12" s="149" t="s">
        <v>1339</v>
      </c>
      <c r="C12" s="150" t="s">
        <v>1340</v>
      </c>
    </row>
    <row r="13" spans="1:7">
      <c r="A13" s="148" t="s">
        <v>1341</v>
      </c>
      <c r="B13" s="149" t="s">
        <v>185</v>
      </c>
      <c r="C13" s="150" t="s">
        <v>1342</v>
      </c>
    </row>
    <row r="14" spans="1:7">
      <c r="A14" s="148" t="s">
        <v>1343</v>
      </c>
      <c r="B14" s="149" t="s">
        <v>222</v>
      </c>
      <c r="C14" s="150" t="s">
        <v>1344</v>
      </c>
    </row>
    <row r="15" spans="1:7">
      <c r="A15" s="148" t="s">
        <v>1345</v>
      </c>
      <c r="B15" s="149" t="s">
        <v>278</v>
      </c>
      <c r="C15" s="150" t="s">
        <v>1346</v>
      </c>
    </row>
    <row r="16" spans="1:7">
      <c r="A16" s="148" t="s">
        <v>1347</v>
      </c>
      <c r="B16" s="149" t="s">
        <v>1348</v>
      </c>
      <c r="C16" s="150" t="s">
        <v>1349</v>
      </c>
    </row>
    <row r="17" spans="1:8">
      <c r="A17" s="148" t="s">
        <v>1350</v>
      </c>
      <c r="B17" s="149" t="s">
        <v>1351</v>
      </c>
      <c r="C17" s="150" t="s">
        <v>1352</v>
      </c>
    </row>
    <row r="18" spans="1:8" ht="30">
      <c r="A18" s="148" t="s">
        <v>1353</v>
      </c>
      <c r="B18" s="149" t="s">
        <v>750</v>
      </c>
      <c r="C18" s="150" t="s">
        <v>1354</v>
      </c>
    </row>
    <row r="19" spans="1:8">
      <c r="A19" s="148" t="s">
        <v>1355</v>
      </c>
      <c r="B19" s="149" t="s">
        <v>847</v>
      </c>
      <c r="C19" s="150" t="s">
        <v>1356</v>
      </c>
    </row>
    <row r="20" spans="1:8">
      <c r="A20" s="148" t="s">
        <v>1357</v>
      </c>
      <c r="B20" s="149" t="s">
        <v>914</v>
      </c>
      <c r="C20" s="150" t="s">
        <v>1358</v>
      </c>
    </row>
    <row r="21" spans="1:8">
      <c r="A21" s="148" t="s">
        <v>1359</v>
      </c>
      <c r="B21" s="149" t="s">
        <v>1360</v>
      </c>
      <c r="C21" s="150" t="s">
        <v>1361</v>
      </c>
    </row>
    <row r="22" spans="1:8">
      <c r="A22" s="148" t="s">
        <v>1362</v>
      </c>
      <c r="B22" s="149" t="s">
        <v>997</v>
      </c>
      <c r="C22" s="150" t="s">
        <v>1363</v>
      </c>
    </row>
    <row r="23" spans="1:8">
      <c r="A23" s="148" t="s">
        <v>1364</v>
      </c>
      <c r="B23" s="149" t="s">
        <v>36</v>
      </c>
      <c r="C23" s="150" t="s">
        <v>1365</v>
      </c>
    </row>
    <row r="24" spans="1:8">
      <c r="A24" s="151" t="s">
        <v>1366</v>
      </c>
      <c r="B24" s="152" t="s">
        <v>37</v>
      </c>
      <c r="C24" s="153" t="s">
        <v>1367</v>
      </c>
    </row>
    <row r="26" spans="1:8">
      <c r="A26" s="154" t="s">
        <v>1369</v>
      </c>
    </row>
    <row r="28" spans="1:8">
      <c r="H28" s="155"/>
    </row>
    <row r="29" spans="1:8">
      <c r="H29" s="155"/>
    </row>
    <row r="30" spans="1:8">
      <c r="H30" s="155"/>
    </row>
    <row r="31" spans="1:8">
      <c r="H31" s="155"/>
    </row>
    <row r="32" spans="1:8">
      <c r="H32" s="155"/>
    </row>
    <row r="33" spans="8:8">
      <c r="H33" s="155"/>
    </row>
    <row r="34" spans="8:8">
      <c r="H34" s="155"/>
    </row>
    <row r="35" spans="8:8">
      <c r="H35" s="155"/>
    </row>
    <row r="36" spans="8:8">
      <c r="H36" s="155"/>
    </row>
    <row r="37" spans="8:8">
      <c r="H37" s="155"/>
    </row>
    <row r="38" spans="8:8">
      <c r="H38" s="155"/>
    </row>
    <row r="39" spans="8:8">
      <c r="H39" s="155"/>
    </row>
    <row r="40" spans="8:8">
      <c r="H40" s="155"/>
    </row>
    <row r="41" spans="8:8">
      <c r="H41" s="155"/>
    </row>
    <row r="42" spans="8:8">
      <c r="H42" s="155"/>
    </row>
    <row r="43" spans="8:8">
      <c r="H43" s="155"/>
    </row>
    <row r="44" spans="8:8">
      <c r="H44" s="155"/>
    </row>
    <row r="45" spans="8:8">
      <c r="H45" s="155"/>
    </row>
    <row r="46" spans="8:8">
      <c r="H46" s="155"/>
    </row>
    <row r="47" spans="8:8">
      <c r="H47" s="155"/>
    </row>
    <row r="48" spans="8:8">
      <c r="H48" s="155"/>
    </row>
    <row r="49" spans="8:8">
      <c r="H49" s="155"/>
    </row>
    <row r="50" spans="8:8">
      <c r="H50" s="155"/>
    </row>
    <row r="51" spans="8:8">
      <c r="H51" s="155"/>
    </row>
    <row r="52" spans="8:8">
      <c r="H52" s="155"/>
    </row>
    <row r="53" spans="8:8">
      <c r="H53" s="155"/>
    </row>
    <row r="54" spans="8:8">
      <c r="H54" s="155"/>
    </row>
    <row r="55" spans="8:8">
      <c r="H55" s="155"/>
    </row>
    <row r="56" spans="8:8">
      <c r="H56" s="155"/>
    </row>
    <row r="57" spans="8:8">
      <c r="H57" s="155"/>
    </row>
    <row r="58" spans="8:8">
      <c r="H58" s="155"/>
    </row>
    <row r="59" spans="8:8">
      <c r="H59" s="155"/>
    </row>
    <row r="60" spans="8:8">
      <c r="H60" s="155"/>
    </row>
    <row r="61" spans="8:8">
      <c r="H61" s="155"/>
    </row>
    <row r="62" spans="8:8">
      <c r="H62" s="155"/>
    </row>
    <row r="63" spans="8:8">
      <c r="H63" s="155"/>
    </row>
    <row r="64" spans="8:8">
      <c r="H64" s="155"/>
    </row>
    <row r="65" spans="8:8">
      <c r="H65" s="155"/>
    </row>
    <row r="66" spans="8:8">
      <c r="H66" s="155"/>
    </row>
    <row r="67" spans="8:8">
      <c r="H67" s="155"/>
    </row>
    <row r="68" spans="8:8">
      <c r="H68" s="155"/>
    </row>
    <row r="69" spans="8:8">
      <c r="H69" s="155"/>
    </row>
    <row r="70" spans="8:8">
      <c r="H70" s="155"/>
    </row>
    <row r="71" spans="8:8">
      <c r="H71" s="155"/>
    </row>
    <row r="72" spans="8:8">
      <c r="H72" s="155"/>
    </row>
    <row r="73" spans="8:8">
      <c r="H73" s="155"/>
    </row>
    <row r="74" spans="8:8">
      <c r="H74" s="155"/>
    </row>
    <row r="75" spans="8:8">
      <c r="H75" s="155"/>
    </row>
    <row r="76" spans="8:8">
      <c r="H76" s="155"/>
    </row>
    <row r="77" spans="8:8">
      <c r="H77" s="155"/>
    </row>
    <row r="78" spans="8:8">
      <c r="H78" s="155"/>
    </row>
    <row r="79" spans="8:8">
      <c r="H79" s="155"/>
    </row>
    <row r="80" spans="8:8">
      <c r="H80" s="155"/>
    </row>
    <row r="81" spans="8:8">
      <c r="H81" s="155"/>
    </row>
    <row r="82" spans="8:8">
      <c r="H82" s="155"/>
    </row>
    <row r="83" spans="8:8">
      <c r="H83" s="155"/>
    </row>
    <row r="84" spans="8:8">
      <c r="H84" s="155"/>
    </row>
    <row r="85" spans="8:8">
      <c r="H85" s="155"/>
    </row>
    <row r="86" spans="8:8">
      <c r="H86" s="155"/>
    </row>
    <row r="87" spans="8:8">
      <c r="H87" s="155"/>
    </row>
    <row r="88" spans="8:8">
      <c r="H88" s="155"/>
    </row>
    <row r="89" spans="8:8">
      <c r="H89" s="155"/>
    </row>
    <row r="90" spans="8:8">
      <c r="H90" s="155"/>
    </row>
    <row r="91" spans="8:8">
      <c r="H91" s="155"/>
    </row>
    <row r="92" spans="8:8">
      <c r="H92" s="155"/>
    </row>
    <row r="93" spans="8:8">
      <c r="H93" s="155"/>
    </row>
    <row r="94" spans="8:8">
      <c r="H94" s="155"/>
    </row>
    <row r="95" spans="8:8">
      <c r="H95" s="155"/>
    </row>
    <row r="96" spans="8:8">
      <c r="H96" s="155"/>
    </row>
    <row r="97" spans="8:8">
      <c r="H97" s="155"/>
    </row>
    <row r="98" spans="8:8">
      <c r="H98" s="155"/>
    </row>
    <row r="99" spans="8:8">
      <c r="H99" s="155"/>
    </row>
    <row r="100" spans="8:8">
      <c r="H100" s="155"/>
    </row>
    <row r="101" spans="8:8">
      <c r="H101" s="155"/>
    </row>
    <row r="102" spans="8:8">
      <c r="H102" s="155"/>
    </row>
    <row r="103" spans="8:8">
      <c r="H103" s="155"/>
    </row>
  </sheetData>
  <hyperlinks>
    <hyperlink ref="D7" location="FORMULAIRE!E3" display="COMMENCER" xr:uid="{A5986E9A-63D8-4F0F-9288-6D386F3960A4}"/>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07F0F-B905-495C-9356-A9D3E308F381}">
  <dimension ref="A1:G1043"/>
  <sheetViews>
    <sheetView zoomScale="85" zoomScaleNormal="85" workbookViewId="0">
      <pane ySplit="1" topLeftCell="A862" activePane="bottomLeft" state="frozen"/>
      <selection activeCell="D1" sqref="D1"/>
      <selection pane="bottomLeft" activeCell="H900" sqref="H900"/>
    </sheetView>
  </sheetViews>
  <sheetFormatPr baseColWidth="10" defaultColWidth="24.42578125" defaultRowHeight="15.75"/>
  <cols>
    <col min="1" max="1" width="4.7109375" style="8" bestFit="1" customWidth="1"/>
    <col min="2" max="2" width="34.42578125" style="7" bestFit="1" customWidth="1"/>
    <col min="3" max="3" width="48" style="7" bestFit="1" customWidth="1"/>
    <col min="4" max="4" width="143.140625" style="7" bestFit="1" customWidth="1"/>
    <col min="5" max="5" width="39" style="7" customWidth="1"/>
    <col min="6" max="6" width="98.5703125" style="7" customWidth="1"/>
    <col min="7" max="16384" width="24.42578125" style="7"/>
  </cols>
  <sheetData>
    <row r="1" spans="1:6" s="4" customFormat="1" ht="31.5">
      <c r="A1" s="1" t="s">
        <v>1317</v>
      </c>
      <c r="B1" s="2" t="s">
        <v>1314</v>
      </c>
      <c r="C1" s="2" t="s">
        <v>1315</v>
      </c>
      <c r="D1" s="2" t="s">
        <v>1323</v>
      </c>
      <c r="E1" s="3" t="s">
        <v>1318</v>
      </c>
      <c r="F1" s="3" t="s">
        <v>1319</v>
      </c>
    </row>
    <row r="2" spans="1:6" ht="94.5">
      <c r="A2" s="5"/>
      <c r="B2" s="6" t="s">
        <v>0</v>
      </c>
      <c r="C2" s="6" t="s">
        <v>1316</v>
      </c>
      <c r="D2" s="6" t="s">
        <v>2</v>
      </c>
      <c r="E2" s="164" t="s">
        <v>1324</v>
      </c>
    </row>
    <row r="3" spans="1:6" ht="47.25">
      <c r="A3" s="13">
        <v>1</v>
      </c>
      <c r="B3" s="14" t="s">
        <v>0</v>
      </c>
      <c r="C3" s="15" t="s">
        <v>1</v>
      </c>
      <c r="D3" s="14" t="s">
        <v>38</v>
      </c>
      <c r="E3" s="12" t="s">
        <v>1320</v>
      </c>
      <c r="F3" s="11" t="s">
        <v>1370</v>
      </c>
    </row>
    <row r="4" spans="1:6" ht="31.5">
      <c r="A4" s="13">
        <v>2</v>
      </c>
      <c r="B4" s="14" t="s">
        <v>0</v>
      </c>
      <c r="C4" s="15" t="s">
        <v>39</v>
      </c>
      <c r="D4" s="14" t="s">
        <v>40</v>
      </c>
      <c r="E4" s="12" t="s">
        <v>1321</v>
      </c>
    </row>
    <row r="5" spans="1:6" ht="47.25">
      <c r="A5" s="13">
        <v>3</v>
      </c>
      <c r="B5" s="14" t="s">
        <v>0</v>
      </c>
      <c r="C5" s="15" t="s">
        <v>41</v>
      </c>
      <c r="D5" s="14" t="s">
        <v>42</v>
      </c>
      <c r="E5" s="12" t="s">
        <v>1321</v>
      </c>
    </row>
    <row r="6" spans="1:6" ht="94.5">
      <c r="A6" s="13">
        <v>4</v>
      </c>
      <c r="B6" s="14" t="s">
        <v>0</v>
      </c>
      <c r="C6" s="15" t="s">
        <v>43</v>
      </c>
      <c r="D6" s="14" t="s">
        <v>1180</v>
      </c>
      <c r="E6" s="12" t="s">
        <v>1321</v>
      </c>
    </row>
    <row r="7" spans="1:6" ht="47.25">
      <c r="A7" s="13">
        <v>5</v>
      </c>
      <c r="B7" s="14" t="s">
        <v>0</v>
      </c>
      <c r="C7" s="15" t="s">
        <v>44</v>
      </c>
      <c r="D7" s="14" t="s">
        <v>164</v>
      </c>
      <c r="E7" s="12" t="s">
        <v>1321</v>
      </c>
    </row>
    <row r="8" spans="1:6" ht="63">
      <c r="A8" s="13">
        <v>6</v>
      </c>
      <c r="B8" s="14" t="s">
        <v>0</v>
      </c>
      <c r="C8" s="15" t="s">
        <v>45</v>
      </c>
      <c r="D8" s="14" t="s">
        <v>46</v>
      </c>
      <c r="E8" s="12" t="s">
        <v>1321</v>
      </c>
    </row>
    <row r="9" spans="1:6" ht="47.25">
      <c r="A9" s="13">
        <v>7</v>
      </c>
      <c r="B9" s="14" t="s">
        <v>0</v>
      </c>
      <c r="C9" s="15" t="s">
        <v>47</v>
      </c>
      <c r="D9" s="14" t="s">
        <v>165</v>
      </c>
      <c r="E9" s="12" t="s">
        <v>1321</v>
      </c>
    </row>
    <row r="10" spans="1:6" ht="47.25">
      <c r="A10" s="13">
        <v>8</v>
      </c>
      <c r="B10" s="14" t="s">
        <v>0</v>
      </c>
      <c r="C10" s="15" t="s">
        <v>48</v>
      </c>
      <c r="D10" s="14" t="s">
        <v>166</v>
      </c>
      <c r="E10" s="12" t="s">
        <v>1321</v>
      </c>
    </row>
    <row r="11" spans="1:6" ht="47.25">
      <c r="A11" s="13">
        <v>9</v>
      </c>
      <c r="B11" s="14" t="s">
        <v>0</v>
      </c>
      <c r="C11" s="15" t="s">
        <v>49</v>
      </c>
      <c r="D11" s="14" t="s">
        <v>167</v>
      </c>
      <c r="E11" s="12" t="s">
        <v>1321</v>
      </c>
    </row>
    <row r="12" spans="1:6" ht="47.25">
      <c r="A12" s="13">
        <v>10</v>
      </c>
      <c r="B12" s="14" t="s">
        <v>0</v>
      </c>
      <c r="C12" s="15" t="s">
        <v>50</v>
      </c>
      <c r="D12" s="14" t="s">
        <v>51</v>
      </c>
      <c r="E12" s="12" t="s">
        <v>1321</v>
      </c>
    </row>
    <row r="13" spans="1:6" ht="47.25">
      <c r="A13" s="13">
        <v>11</v>
      </c>
      <c r="B13" s="14" t="s">
        <v>0</v>
      </c>
      <c r="C13" s="15" t="s">
        <v>52</v>
      </c>
      <c r="D13" s="14" t="s">
        <v>53</v>
      </c>
      <c r="E13" s="12" t="s">
        <v>1321</v>
      </c>
    </row>
    <row r="14" spans="1:6" ht="31.5">
      <c r="A14" s="13">
        <v>12</v>
      </c>
      <c r="B14" s="14" t="s">
        <v>0</v>
      </c>
      <c r="C14" s="15" t="s">
        <v>54</v>
      </c>
      <c r="D14" s="14" t="s">
        <v>55</v>
      </c>
      <c r="E14" s="12" t="s">
        <v>1321</v>
      </c>
    </row>
    <row r="15" spans="1:6" ht="31.5">
      <c r="A15" s="13">
        <v>13</v>
      </c>
      <c r="B15" s="14" t="s">
        <v>0</v>
      </c>
      <c r="C15" s="15" t="s">
        <v>56</v>
      </c>
      <c r="D15" s="14" t="s">
        <v>57</v>
      </c>
      <c r="E15" s="12" t="s">
        <v>1321</v>
      </c>
    </row>
    <row r="16" spans="1:6" ht="47.25">
      <c r="A16" s="13">
        <v>14</v>
      </c>
      <c r="B16" s="14" t="s">
        <v>0</v>
      </c>
      <c r="C16" s="15" t="s">
        <v>58</v>
      </c>
      <c r="D16" s="14" t="s">
        <v>59</v>
      </c>
      <c r="E16" s="12" t="s">
        <v>1321</v>
      </c>
    </row>
    <row r="17" spans="1:6" ht="63">
      <c r="A17" s="13">
        <v>15</v>
      </c>
      <c r="B17" s="14" t="s">
        <v>0</v>
      </c>
      <c r="C17" s="15" t="s">
        <v>60</v>
      </c>
      <c r="D17" s="14" t="s">
        <v>168</v>
      </c>
      <c r="E17" s="12" t="s">
        <v>1321</v>
      </c>
    </row>
    <row r="18" spans="1:6" ht="63">
      <c r="A18" s="13">
        <v>16</v>
      </c>
      <c r="B18" s="14" t="s">
        <v>0</v>
      </c>
      <c r="C18" s="15" t="s">
        <v>4</v>
      </c>
      <c r="D18" s="14" t="s">
        <v>61</v>
      </c>
      <c r="E18" s="12" t="s">
        <v>1322</v>
      </c>
    </row>
    <row r="19" spans="1:6" ht="47.25">
      <c r="A19" s="13">
        <v>17</v>
      </c>
      <c r="B19" s="14" t="s">
        <v>0</v>
      </c>
      <c r="C19" s="15" t="s">
        <v>62</v>
      </c>
      <c r="D19" s="14" t="s">
        <v>169</v>
      </c>
      <c r="E19" s="12" t="s">
        <v>1322</v>
      </c>
    </row>
    <row r="20" spans="1:6" ht="63">
      <c r="A20" s="13">
        <v>18</v>
      </c>
      <c r="B20" s="14" t="s">
        <v>0</v>
      </c>
      <c r="C20" s="15" t="s">
        <v>63</v>
      </c>
      <c r="D20" s="14" t="s">
        <v>64</v>
      </c>
      <c r="E20" s="12" t="s">
        <v>1322</v>
      </c>
    </row>
    <row r="21" spans="1:6" ht="78.75">
      <c r="A21" s="13">
        <v>19</v>
      </c>
      <c r="B21" s="14" t="s">
        <v>0</v>
      </c>
      <c r="C21" s="15" t="s">
        <v>65</v>
      </c>
      <c r="D21" s="14" t="s">
        <v>66</v>
      </c>
      <c r="E21" s="12" t="s">
        <v>1320</v>
      </c>
      <c r="F21" s="7" t="s">
        <v>1371</v>
      </c>
    </row>
    <row r="22" spans="1:6" ht="63">
      <c r="A22" s="13">
        <v>20</v>
      </c>
      <c r="B22" s="14" t="s">
        <v>0</v>
      </c>
      <c r="C22" s="15" t="s">
        <v>67</v>
      </c>
      <c r="D22" s="14" t="s">
        <v>68</v>
      </c>
      <c r="E22" s="12" t="s">
        <v>1322</v>
      </c>
    </row>
    <row r="23" spans="1:6" ht="47.25">
      <c r="A23" s="13">
        <v>21</v>
      </c>
      <c r="B23" s="14" t="s">
        <v>0</v>
      </c>
      <c r="C23" s="15" t="s">
        <v>69</v>
      </c>
      <c r="D23" s="14" t="s">
        <v>70</v>
      </c>
      <c r="E23" s="12" t="s">
        <v>1322</v>
      </c>
    </row>
    <row r="24" spans="1:6" ht="47.25">
      <c r="A24" s="13">
        <v>22</v>
      </c>
      <c r="B24" s="14" t="s">
        <v>0</v>
      </c>
      <c r="C24" s="15" t="s">
        <v>71</v>
      </c>
      <c r="D24" s="14" t="s">
        <v>72</v>
      </c>
      <c r="E24" s="12" t="s">
        <v>1322</v>
      </c>
    </row>
    <row r="25" spans="1:6" ht="63">
      <c r="A25" s="13">
        <v>23</v>
      </c>
      <c r="B25" s="14" t="s">
        <v>0</v>
      </c>
      <c r="C25" s="15" t="s">
        <v>73</v>
      </c>
      <c r="D25" s="14" t="s">
        <v>170</v>
      </c>
      <c r="E25" s="12" t="s">
        <v>1322</v>
      </c>
    </row>
    <row r="26" spans="1:6" ht="47.25">
      <c r="A26" s="13">
        <v>24</v>
      </c>
      <c r="B26" s="14" t="s">
        <v>0</v>
      </c>
      <c r="C26" s="15" t="s">
        <v>74</v>
      </c>
      <c r="D26" s="14" t="s">
        <v>75</v>
      </c>
      <c r="E26" s="12" t="s">
        <v>1322</v>
      </c>
    </row>
    <row r="27" spans="1:6" ht="47.25">
      <c r="A27" s="13">
        <v>25</v>
      </c>
      <c r="B27" s="14" t="s">
        <v>0</v>
      </c>
      <c r="C27" s="15" t="s">
        <v>76</v>
      </c>
      <c r="D27" s="14" t="s">
        <v>77</v>
      </c>
      <c r="E27" s="12" t="s">
        <v>1322</v>
      </c>
    </row>
    <row r="28" spans="1:6" ht="63">
      <c r="A28" s="13">
        <v>26</v>
      </c>
      <c r="B28" s="14" t="s">
        <v>0</v>
      </c>
      <c r="C28" s="15" t="s">
        <v>78</v>
      </c>
      <c r="D28" s="15" t="s">
        <v>171</v>
      </c>
      <c r="E28" s="12" t="s">
        <v>1321</v>
      </c>
    </row>
    <row r="29" spans="1:6" ht="78.75">
      <c r="A29" s="13">
        <v>27</v>
      </c>
      <c r="B29" s="14" t="s">
        <v>0</v>
      </c>
      <c r="C29" s="15" t="s">
        <v>79</v>
      </c>
      <c r="D29" s="14" t="s">
        <v>1181</v>
      </c>
      <c r="E29" s="12" t="s">
        <v>1321</v>
      </c>
    </row>
    <row r="30" spans="1:6" ht="78.75">
      <c r="A30" s="13">
        <v>28</v>
      </c>
      <c r="B30" s="14" t="s">
        <v>0</v>
      </c>
      <c r="C30" s="15" t="s">
        <v>80</v>
      </c>
      <c r="D30" s="14" t="s">
        <v>1182</v>
      </c>
      <c r="E30" s="12" t="s">
        <v>1321</v>
      </c>
    </row>
    <row r="31" spans="1:6" ht="78.75">
      <c r="A31" s="13">
        <v>29</v>
      </c>
      <c r="B31" s="14" t="s">
        <v>0</v>
      </c>
      <c r="C31" s="15" t="s">
        <v>81</v>
      </c>
      <c r="D31" s="14" t="s">
        <v>1183</v>
      </c>
      <c r="E31" s="12" t="s">
        <v>1321</v>
      </c>
    </row>
    <row r="32" spans="1:6" ht="63">
      <c r="A32" s="13">
        <v>30</v>
      </c>
      <c r="B32" s="14" t="s">
        <v>0</v>
      </c>
      <c r="C32" s="15" t="s">
        <v>82</v>
      </c>
      <c r="D32" s="15" t="s">
        <v>172</v>
      </c>
      <c r="E32" s="12" t="s">
        <v>1321</v>
      </c>
    </row>
    <row r="33" spans="1:6" ht="78.75">
      <c r="A33" s="13">
        <v>31</v>
      </c>
      <c r="B33" s="14" t="s">
        <v>0</v>
      </c>
      <c r="C33" s="15" t="s">
        <v>83</v>
      </c>
      <c r="D33" s="14" t="s">
        <v>84</v>
      </c>
      <c r="E33" s="12" t="s">
        <v>1321</v>
      </c>
    </row>
    <row r="34" spans="1:6" ht="78.75">
      <c r="A34" s="13">
        <v>32</v>
      </c>
      <c r="B34" s="14" t="s">
        <v>0</v>
      </c>
      <c r="C34" s="15" t="s">
        <v>85</v>
      </c>
      <c r="D34" s="14" t="s">
        <v>86</v>
      </c>
      <c r="E34" s="12" t="s">
        <v>1322</v>
      </c>
    </row>
    <row r="35" spans="1:6" ht="63">
      <c r="A35" s="13">
        <v>33</v>
      </c>
      <c r="B35" s="14" t="s">
        <v>0</v>
      </c>
      <c r="C35" s="15" t="s">
        <v>87</v>
      </c>
      <c r="D35" s="14" t="s">
        <v>88</v>
      </c>
      <c r="E35" s="12" t="s">
        <v>1322</v>
      </c>
    </row>
    <row r="36" spans="1:6" ht="47.25">
      <c r="A36" s="13">
        <v>34</v>
      </c>
      <c r="B36" s="14" t="s">
        <v>0</v>
      </c>
      <c r="C36" s="15" t="s">
        <v>89</v>
      </c>
      <c r="D36" s="14" t="s">
        <v>90</v>
      </c>
      <c r="E36" s="12" t="s">
        <v>1322</v>
      </c>
    </row>
    <row r="37" spans="1:6" ht="47.25">
      <c r="A37" s="13">
        <v>35</v>
      </c>
      <c r="B37" s="14" t="s">
        <v>0</v>
      </c>
      <c r="C37" s="15" t="s">
        <v>91</v>
      </c>
      <c r="D37" s="14" t="s">
        <v>92</v>
      </c>
      <c r="E37" s="12" t="s">
        <v>1322</v>
      </c>
    </row>
    <row r="38" spans="1:6" ht="63">
      <c r="A38" s="13">
        <v>36</v>
      </c>
      <c r="B38" s="14" t="s">
        <v>0</v>
      </c>
      <c r="C38" s="15" t="s">
        <v>93</v>
      </c>
      <c r="D38" s="14" t="s">
        <v>94</v>
      </c>
      <c r="E38" s="12" t="s">
        <v>1322</v>
      </c>
    </row>
    <row r="39" spans="1:6" ht="63">
      <c r="A39" s="13">
        <v>37</v>
      </c>
      <c r="B39" s="14" t="s">
        <v>0</v>
      </c>
      <c r="C39" s="15" t="s">
        <v>95</v>
      </c>
      <c r="D39" s="14" t="s">
        <v>96</v>
      </c>
      <c r="E39" s="12" t="s">
        <v>1322</v>
      </c>
    </row>
    <row r="40" spans="1:6" ht="47.25">
      <c r="A40" s="13">
        <v>38</v>
      </c>
      <c r="B40" s="14" t="s">
        <v>0</v>
      </c>
      <c r="C40" s="15" t="s">
        <v>97</v>
      </c>
      <c r="D40" s="14" t="s">
        <v>98</v>
      </c>
      <c r="E40" s="12" t="s">
        <v>1322</v>
      </c>
    </row>
    <row r="41" spans="1:6" ht="47.25">
      <c r="A41" s="13">
        <v>39</v>
      </c>
      <c r="B41" s="14" t="s">
        <v>0</v>
      </c>
      <c r="C41" s="15" t="s">
        <v>99</v>
      </c>
      <c r="D41" s="14" t="s">
        <v>100</v>
      </c>
      <c r="E41" s="12" t="s">
        <v>1320</v>
      </c>
    </row>
    <row r="42" spans="1:6" ht="63">
      <c r="A42" s="13">
        <v>40</v>
      </c>
      <c r="B42" s="14" t="s">
        <v>0</v>
      </c>
      <c r="C42" s="15" t="s">
        <v>101</v>
      </c>
      <c r="D42" s="14" t="s">
        <v>102</v>
      </c>
      <c r="E42" s="12" t="s">
        <v>1320</v>
      </c>
    </row>
    <row r="43" spans="1:6" ht="47.25">
      <c r="A43" s="13">
        <v>41</v>
      </c>
      <c r="B43" s="14" t="s">
        <v>0</v>
      </c>
      <c r="C43" s="15" t="s">
        <v>103</v>
      </c>
      <c r="D43" s="14" t="s">
        <v>104</v>
      </c>
      <c r="E43" s="12" t="s">
        <v>1320</v>
      </c>
    </row>
    <row r="44" spans="1:6" ht="47.25">
      <c r="A44" s="13">
        <v>42</v>
      </c>
      <c r="B44" s="14" t="s">
        <v>0</v>
      </c>
      <c r="C44" s="15" t="s">
        <v>105</v>
      </c>
      <c r="D44" s="14" t="s">
        <v>106</v>
      </c>
      <c r="E44" s="12" t="s">
        <v>1320</v>
      </c>
    </row>
    <row r="45" spans="1:6" ht="47.25">
      <c r="A45" s="13">
        <v>43</v>
      </c>
      <c r="B45" s="14" t="s">
        <v>0</v>
      </c>
      <c r="C45" s="15" t="s">
        <v>107</v>
      </c>
      <c r="D45" s="14" t="s">
        <v>108</v>
      </c>
      <c r="E45" s="12" t="s">
        <v>1320</v>
      </c>
    </row>
    <row r="46" spans="1:6" ht="63">
      <c r="A46" s="13">
        <v>44</v>
      </c>
      <c r="B46" s="14" t="s">
        <v>0</v>
      </c>
      <c r="C46" s="15" t="s">
        <v>109</v>
      </c>
      <c r="D46" s="15" t="s">
        <v>173</v>
      </c>
      <c r="E46" s="12" t="s">
        <v>1320</v>
      </c>
      <c r="F46" s="7" t="s">
        <v>1372</v>
      </c>
    </row>
    <row r="47" spans="1:6" ht="94.5">
      <c r="A47" s="5"/>
      <c r="B47" s="6" t="s">
        <v>174</v>
      </c>
      <c r="C47" s="6" t="s">
        <v>1316</v>
      </c>
      <c r="D47" s="6" t="s">
        <v>1168</v>
      </c>
      <c r="E47" s="164" t="s">
        <v>1324</v>
      </c>
    </row>
    <row r="48" spans="1:6" ht="47.25">
      <c r="A48" s="16">
        <v>45</v>
      </c>
      <c r="B48" s="17" t="s">
        <v>174</v>
      </c>
      <c r="C48" s="18" t="s">
        <v>110</v>
      </c>
      <c r="D48" s="17" t="s">
        <v>111</v>
      </c>
      <c r="E48" s="12" t="s">
        <v>1321</v>
      </c>
    </row>
    <row r="49" spans="1:5" ht="63">
      <c r="A49" s="16">
        <v>46</v>
      </c>
      <c r="B49" s="17" t="s">
        <v>174</v>
      </c>
      <c r="C49" s="18" t="s">
        <v>112</v>
      </c>
      <c r="D49" s="17" t="s">
        <v>113</v>
      </c>
      <c r="E49" s="12" t="s">
        <v>1321</v>
      </c>
    </row>
    <row r="50" spans="1:5" ht="31.5">
      <c r="A50" s="16">
        <v>47</v>
      </c>
      <c r="B50" s="17" t="s">
        <v>174</v>
      </c>
      <c r="C50" s="18" t="s">
        <v>114</v>
      </c>
      <c r="D50" s="17" t="s">
        <v>115</v>
      </c>
      <c r="E50" s="12" t="s">
        <v>1321</v>
      </c>
    </row>
    <row r="51" spans="1:5" ht="63">
      <c r="A51" s="16">
        <v>48</v>
      </c>
      <c r="B51" s="17" t="s">
        <v>174</v>
      </c>
      <c r="C51" s="18" t="s">
        <v>116</v>
      </c>
      <c r="D51" s="18" t="s">
        <v>175</v>
      </c>
      <c r="E51" s="12" t="s">
        <v>1321</v>
      </c>
    </row>
    <row r="52" spans="1:5" ht="63">
      <c r="A52" s="16">
        <v>49</v>
      </c>
      <c r="B52" s="17" t="s">
        <v>174</v>
      </c>
      <c r="C52" s="18" t="s">
        <v>117</v>
      </c>
      <c r="D52" s="17" t="s">
        <v>118</v>
      </c>
      <c r="E52" s="12" t="s">
        <v>1321</v>
      </c>
    </row>
    <row r="53" spans="1:5" ht="94.5">
      <c r="A53" s="16">
        <v>50</v>
      </c>
      <c r="B53" s="17" t="s">
        <v>174</v>
      </c>
      <c r="C53" s="18" t="s">
        <v>119</v>
      </c>
      <c r="D53" s="17" t="s">
        <v>1184</v>
      </c>
      <c r="E53" s="12" t="s">
        <v>1321</v>
      </c>
    </row>
    <row r="54" spans="1:5" ht="63">
      <c r="A54" s="16">
        <v>51</v>
      </c>
      <c r="B54" s="17" t="s">
        <v>174</v>
      </c>
      <c r="C54" s="18" t="s">
        <v>5</v>
      </c>
      <c r="D54" s="18" t="s">
        <v>176</v>
      </c>
      <c r="E54" s="12" t="s">
        <v>1322</v>
      </c>
    </row>
    <row r="55" spans="1:5" ht="78.75">
      <c r="A55" s="16">
        <v>52</v>
      </c>
      <c r="B55" s="17" t="s">
        <v>174</v>
      </c>
      <c r="C55" s="18" t="s">
        <v>120</v>
      </c>
      <c r="D55" s="17" t="s">
        <v>1185</v>
      </c>
      <c r="E55" s="12" t="s">
        <v>1322</v>
      </c>
    </row>
    <row r="56" spans="1:5" ht="47.25">
      <c r="A56" s="16">
        <v>53</v>
      </c>
      <c r="B56" s="17" t="s">
        <v>174</v>
      </c>
      <c r="C56" s="18" t="s">
        <v>121</v>
      </c>
      <c r="D56" s="17" t="s">
        <v>122</v>
      </c>
      <c r="E56" s="12" t="s">
        <v>1322</v>
      </c>
    </row>
    <row r="57" spans="1:5" ht="78.75">
      <c r="A57" s="16">
        <v>54</v>
      </c>
      <c r="B57" s="17" t="s">
        <v>174</v>
      </c>
      <c r="C57" s="18" t="s">
        <v>123</v>
      </c>
      <c r="D57" s="17" t="s">
        <v>124</v>
      </c>
      <c r="E57" s="12" t="s">
        <v>1322</v>
      </c>
    </row>
    <row r="58" spans="1:5" ht="63">
      <c r="A58" s="16">
        <v>55</v>
      </c>
      <c r="B58" s="17" t="s">
        <v>174</v>
      </c>
      <c r="C58" s="18" t="s">
        <v>125</v>
      </c>
      <c r="D58" s="18" t="s">
        <v>177</v>
      </c>
      <c r="E58" s="12" t="s">
        <v>1322</v>
      </c>
    </row>
    <row r="59" spans="1:5" ht="63">
      <c r="A59" s="16">
        <v>56</v>
      </c>
      <c r="B59" s="17" t="s">
        <v>174</v>
      </c>
      <c r="C59" s="18" t="s">
        <v>126</v>
      </c>
      <c r="D59" s="18" t="s">
        <v>178</v>
      </c>
      <c r="E59" s="12" t="s">
        <v>1322</v>
      </c>
    </row>
    <row r="60" spans="1:5" ht="94.5">
      <c r="A60" s="16">
        <v>57</v>
      </c>
      <c r="B60" s="17" t="s">
        <v>174</v>
      </c>
      <c r="C60" s="18" t="s">
        <v>127</v>
      </c>
      <c r="D60" s="17" t="s">
        <v>1186</v>
      </c>
      <c r="E60" s="12" t="s">
        <v>1322</v>
      </c>
    </row>
    <row r="61" spans="1:5" ht="110.25">
      <c r="A61" s="16">
        <v>58</v>
      </c>
      <c r="B61" s="17" t="s">
        <v>174</v>
      </c>
      <c r="C61" s="18" t="s">
        <v>128</v>
      </c>
      <c r="D61" s="17" t="s">
        <v>1187</v>
      </c>
      <c r="E61" s="12" t="s">
        <v>1322</v>
      </c>
    </row>
    <row r="62" spans="1:5" ht="63">
      <c r="A62" s="16">
        <v>59</v>
      </c>
      <c r="B62" s="17" t="s">
        <v>174</v>
      </c>
      <c r="C62" s="18" t="s">
        <v>129</v>
      </c>
      <c r="D62" s="17" t="s">
        <v>130</v>
      </c>
      <c r="E62" s="12" t="s">
        <v>1322</v>
      </c>
    </row>
    <row r="63" spans="1:5" ht="94.5">
      <c r="A63" s="16">
        <v>60</v>
      </c>
      <c r="B63" s="17" t="s">
        <v>174</v>
      </c>
      <c r="C63" s="18" t="s">
        <v>114</v>
      </c>
      <c r="D63" s="17" t="s">
        <v>131</v>
      </c>
      <c r="E63" s="12" t="s">
        <v>1322</v>
      </c>
    </row>
    <row r="64" spans="1:5" ht="63">
      <c r="A64" s="16">
        <v>61</v>
      </c>
      <c r="B64" s="17" t="s">
        <v>174</v>
      </c>
      <c r="C64" s="18" t="s">
        <v>116</v>
      </c>
      <c r="D64" s="18" t="s">
        <v>179</v>
      </c>
      <c r="E64" s="12" t="s">
        <v>1322</v>
      </c>
    </row>
    <row r="65" spans="1:5" ht="63">
      <c r="A65" s="16">
        <v>62</v>
      </c>
      <c r="B65" s="17" t="s">
        <v>174</v>
      </c>
      <c r="C65" s="18" t="s">
        <v>117</v>
      </c>
      <c r="D65" s="17" t="s">
        <v>132</v>
      </c>
      <c r="E65" s="12" t="s">
        <v>1322</v>
      </c>
    </row>
    <row r="66" spans="1:5" ht="63">
      <c r="A66" s="16">
        <v>63</v>
      </c>
      <c r="B66" s="17" t="s">
        <v>174</v>
      </c>
      <c r="C66" s="18" t="s">
        <v>119</v>
      </c>
      <c r="D66" s="17" t="s">
        <v>1188</v>
      </c>
      <c r="E66" s="12" t="s">
        <v>1322</v>
      </c>
    </row>
    <row r="67" spans="1:5" ht="94.5">
      <c r="A67" s="16">
        <v>64</v>
      </c>
      <c r="B67" s="17" t="s">
        <v>174</v>
      </c>
      <c r="C67" s="18" t="s">
        <v>5</v>
      </c>
      <c r="D67" s="18" t="s">
        <v>180</v>
      </c>
      <c r="E67" s="12" t="s">
        <v>1322</v>
      </c>
    </row>
    <row r="68" spans="1:5" ht="141.75">
      <c r="A68" s="16">
        <v>65</v>
      </c>
      <c r="B68" s="17" t="s">
        <v>174</v>
      </c>
      <c r="C68" s="18" t="s">
        <v>120</v>
      </c>
      <c r="D68" s="17" t="s">
        <v>1189</v>
      </c>
      <c r="E68" s="12" t="s">
        <v>1322</v>
      </c>
    </row>
    <row r="69" spans="1:5" ht="47.25">
      <c r="A69" s="16">
        <v>66</v>
      </c>
      <c r="B69" s="17" t="s">
        <v>174</v>
      </c>
      <c r="C69" s="18" t="s">
        <v>121</v>
      </c>
      <c r="D69" s="17" t="s">
        <v>133</v>
      </c>
      <c r="E69" s="12" t="s">
        <v>1322</v>
      </c>
    </row>
    <row r="70" spans="1:5" ht="47.25">
      <c r="A70" s="16">
        <v>67</v>
      </c>
      <c r="B70" s="17" t="s">
        <v>174</v>
      </c>
      <c r="C70" s="18" t="s">
        <v>134</v>
      </c>
      <c r="D70" s="18" t="s">
        <v>181</v>
      </c>
      <c r="E70" s="12" t="s">
        <v>1320</v>
      </c>
    </row>
    <row r="71" spans="1:5" ht="63">
      <c r="A71" s="16">
        <v>68</v>
      </c>
      <c r="B71" s="17" t="s">
        <v>174</v>
      </c>
      <c r="C71" s="18" t="s">
        <v>135</v>
      </c>
      <c r="D71" s="17" t="s">
        <v>136</v>
      </c>
      <c r="E71" s="12" t="s">
        <v>1320</v>
      </c>
    </row>
    <row r="72" spans="1:5" ht="78.75">
      <c r="A72" s="16">
        <v>69</v>
      </c>
      <c r="B72" s="17" t="s">
        <v>174</v>
      </c>
      <c r="C72" s="18" t="s">
        <v>137</v>
      </c>
      <c r="D72" s="17" t="s">
        <v>138</v>
      </c>
      <c r="E72" s="12" t="s">
        <v>1320</v>
      </c>
    </row>
    <row r="73" spans="1:5" ht="78.75">
      <c r="A73" s="16">
        <v>70</v>
      </c>
      <c r="B73" s="17" t="s">
        <v>174</v>
      </c>
      <c r="C73" s="18" t="s">
        <v>139</v>
      </c>
      <c r="D73" s="17" t="s">
        <v>140</v>
      </c>
      <c r="E73" s="12" t="s">
        <v>1320</v>
      </c>
    </row>
    <row r="74" spans="1:5" ht="78.75">
      <c r="A74" s="16">
        <v>71</v>
      </c>
      <c r="B74" s="17" t="s">
        <v>174</v>
      </c>
      <c r="C74" s="18" t="s">
        <v>95</v>
      </c>
      <c r="D74" s="17" t="s">
        <v>141</v>
      </c>
      <c r="E74" s="12" t="s">
        <v>1320</v>
      </c>
    </row>
    <row r="75" spans="1:5" ht="78.75">
      <c r="A75" s="16">
        <v>72</v>
      </c>
      <c r="B75" s="17" t="s">
        <v>174</v>
      </c>
      <c r="C75" s="18" t="s">
        <v>6</v>
      </c>
      <c r="D75" s="18" t="s">
        <v>182</v>
      </c>
      <c r="E75" s="12" t="s">
        <v>1320</v>
      </c>
    </row>
    <row r="76" spans="1:5" ht="78.75">
      <c r="A76" s="16">
        <v>73</v>
      </c>
      <c r="B76" s="17" t="s">
        <v>174</v>
      </c>
      <c r="C76" s="18" t="s">
        <v>142</v>
      </c>
      <c r="D76" s="17" t="s">
        <v>143</v>
      </c>
      <c r="E76" s="12" t="s">
        <v>1320</v>
      </c>
    </row>
    <row r="77" spans="1:5" ht="47.25">
      <c r="A77" s="16">
        <v>74</v>
      </c>
      <c r="B77" s="17" t="s">
        <v>174</v>
      </c>
      <c r="C77" s="18" t="s">
        <v>126</v>
      </c>
      <c r="D77" s="17" t="s">
        <v>144</v>
      </c>
      <c r="E77" s="12" t="s">
        <v>1320</v>
      </c>
    </row>
    <row r="78" spans="1:5" ht="63">
      <c r="A78" s="16">
        <v>75</v>
      </c>
      <c r="B78" s="17" t="s">
        <v>174</v>
      </c>
      <c r="C78" s="18" t="s">
        <v>127</v>
      </c>
      <c r="D78" s="17" t="s">
        <v>1190</v>
      </c>
      <c r="E78" s="12" t="s">
        <v>1320</v>
      </c>
    </row>
    <row r="79" spans="1:5" ht="78.75">
      <c r="A79" s="16">
        <v>76</v>
      </c>
      <c r="B79" s="17" t="s">
        <v>174</v>
      </c>
      <c r="C79" s="18" t="s">
        <v>128</v>
      </c>
      <c r="D79" s="17" t="s">
        <v>1191</v>
      </c>
      <c r="E79" s="12" t="s">
        <v>1320</v>
      </c>
    </row>
    <row r="80" spans="1:5" ht="63">
      <c r="A80" s="16">
        <v>77</v>
      </c>
      <c r="B80" s="17" t="s">
        <v>174</v>
      </c>
      <c r="C80" s="18" t="s">
        <v>145</v>
      </c>
      <c r="D80" s="17" t="s">
        <v>146</v>
      </c>
      <c r="E80" s="12" t="s">
        <v>1322</v>
      </c>
    </row>
    <row r="81" spans="1:5" ht="63">
      <c r="A81" s="16">
        <v>78</v>
      </c>
      <c r="B81" s="17" t="s">
        <v>174</v>
      </c>
      <c r="C81" s="18" t="s">
        <v>137</v>
      </c>
      <c r="D81" s="17" t="s">
        <v>147</v>
      </c>
      <c r="E81" s="12" t="s">
        <v>1322</v>
      </c>
    </row>
    <row r="82" spans="1:5" ht="78.75">
      <c r="A82" s="16">
        <v>79</v>
      </c>
      <c r="B82" s="17" t="s">
        <v>174</v>
      </c>
      <c r="C82" s="18" t="s">
        <v>148</v>
      </c>
      <c r="D82" s="17" t="s">
        <v>1192</v>
      </c>
      <c r="E82" s="12" t="s">
        <v>1322</v>
      </c>
    </row>
    <row r="83" spans="1:5" ht="78.75">
      <c r="A83" s="16">
        <v>80</v>
      </c>
      <c r="B83" s="17" t="s">
        <v>174</v>
      </c>
      <c r="C83" s="18" t="s">
        <v>139</v>
      </c>
      <c r="D83" s="17" t="s">
        <v>149</v>
      </c>
      <c r="E83" s="12" t="s">
        <v>1322</v>
      </c>
    </row>
    <row r="84" spans="1:5" ht="63">
      <c r="A84" s="16">
        <v>81</v>
      </c>
      <c r="B84" s="17" t="s">
        <v>174</v>
      </c>
      <c r="C84" s="18" t="s">
        <v>95</v>
      </c>
      <c r="D84" s="17" t="s">
        <v>150</v>
      </c>
      <c r="E84" s="12" t="s">
        <v>1322</v>
      </c>
    </row>
    <row r="85" spans="1:5" ht="47.25">
      <c r="A85" s="16">
        <v>82</v>
      </c>
      <c r="B85" s="17" t="s">
        <v>174</v>
      </c>
      <c r="C85" s="18" t="s">
        <v>6</v>
      </c>
      <c r="D85" s="17" t="s">
        <v>151</v>
      </c>
      <c r="E85" s="12" t="s">
        <v>1322</v>
      </c>
    </row>
    <row r="86" spans="1:5" ht="63">
      <c r="A86" s="16">
        <v>83</v>
      </c>
      <c r="B86" s="17" t="s">
        <v>174</v>
      </c>
      <c r="C86" s="18" t="s">
        <v>152</v>
      </c>
      <c r="D86" s="17" t="s">
        <v>153</v>
      </c>
      <c r="E86" s="12" t="s">
        <v>1322</v>
      </c>
    </row>
    <row r="87" spans="1:5" ht="47.25">
      <c r="A87" s="16">
        <v>84</v>
      </c>
      <c r="B87" s="17" t="s">
        <v>174</v>
      </c>
      <c r="C87" s="18" t="s">
        <v>154</v>
      </c>
      <c r="D87" s="18" t="s">
        <v>183</v>
      </c>
      <c r="E87" s="12" t="s">
        <v>1322</v>
      </c>
    </row>
    <row r="88" spans="1:5" ht="94.5">
      <c r="A88" s="16">
        <v>85</v>
      </c>
      <c r="B88" s="17" t="s">
        <v>174</v>
      </c>
      <c r="C88" s="18" t="s">
        <v>155</v>
      </c>
      <c r="D88" s="17" t="s">
        <v>1193</v>
      </c>
      <c r="E88" s="12" t="s">
        <v>1322</v>
      </c>
    </row>
    <row r="89" spans="1:5" ht="78.75">
      <c r="A89" s="16">
        <v>86</v>
      </c>
      <c r="B89" s="17" t="s">
        <v>174</v>
      </c>
      <c r="C89" s="18" t="s">
        <v>156</v>
      </c>
      <c r="D89" s="18" t="s">
        <v>184</v>
      </c>
      <c r="E89" s="12" t="s">
        <v>1321</v>
      </c>
    </row>
    <row r="90" spans="1:5" ht="78.75">
      <c r="A90" s="16">
        <v>87</v>
      </c>
      <c r="B90" s="17" t="s">
        <v>174</v>
      </c>
      <c r="C90" s="18" t="s">
        <v>157</v>
      </c>
      <c r="D90" s="17" t="s">
        <v>1194</v>
      </c>
      <c r="E90" s="12" t="s">
        <v>1322</v>
      </c>
    </row>
    <row r="91" spans="1:5" ht="94.5">
      <c r="A91" s="16">
        <v>88</v>
      </c>
      <c r="B91" s="17" t="s">
        <v>174</v>
      </c>
      <c r="C91" s="18" t="s">
        <v>158</v>
      </c>
      <c r="D91" s="17" t="s">
        <v>159</v>
      </c>
      <c r="E91" s="12" t="s">
        <v>1322</v>
      </c>
    </row>
    <row r="92" spans="1:5" ht="126">
      <c r="A92" s="16">
        <v>89</v>
      </c>
      <c r="B92" s="17" t="s">
        <v>174</v>
      </c>
      <c r="C92" s="18" t="s">
        <v>160</v>
      </c>
      <c r="D92" s="17" t="s">
        <v>1195</v>
      </c>
      <c r="E92" s="12" t="s">
        <v>1322</v>
      </c>
    </row>
    <row r="93" spans="1:5" ht="110.25">
      <c r="A93" s="16">
        <v>90</v>
      </c>
      <c r="B93" s="17" t="s">
        <v>174</v>
      </c>
      <c r="C93" s="18" t="s">
        <v>161</v>
      </c>
      <c r="D93" s="17" t="s">
        <v>1196</v>
      </c>
      <c r="E93" s="12" t="s">
        <v>1322</v>
      </c>
    </row>
    <row r="94" spans="1:5" ht="47.25">
      <c r="A94" s="16">
        <v>91</v>
      </c>
      <c r="B94" s="17" t="s">
        <v>174</v>
      </c>
      <c r="C94" s="18" t="s">
        <v>162</v>
      </c>
      <c r="D94" s="17" t="s">
        <v>163</v>
      </c>
      <c r="E94" s="12" t="s">
        <v>1322</v>
      </c>
    </row>
    <row r="95" spans="1:5" ht="78.75">
      <c r="A95" s="5"/>
      <c r="B95" s="6" t="s">
        <v>185</v>
      </c>
      <c r="C95" s="6" t="s">
        <v>1316</v>
      </c>
      <c r="D95" s="6" t="s">
        <v>1167</v>
      </c>
      <c r="E95" s="12" t="s">
        <v>1322</v>
      </c>
    </row>
    <row r="96" spans="1:5" ht="78.75">
      <c r="A96" s="19">
        <v>92</v>
      </c>
      <c r="B96" s="157" t="s">
        <v>185</v>
      </c>
      <c r="C96" s="158" t="s">
        <v>186</v>
      </c>
      <c r="D96" s="157" t="s">
        <v>1197</v>
      </c>
      <c r="E96" s="12" t="s">
        <v>1322</v>
      </c>
    </row>
    <row r="97" spans="1:5" ht="47.25">
      <c r="A97" s="19">
        <v>93</v>
      </c>
      <c r="B97" s="157" t="s">
        <v>185</v>
      </c>
      <c r="C97" s="158" t="s">
        <v>187</v>
      </c>
      <c r="D97" s="158" t="s">
        <v>188</v>
      </c>
      <c r="E97" s="12" t="s">
        <v>1322</v>
      </c>
    </row>
    <row r="98" spans="1:5" ht="31.5">
      <c r="A98" s="19">
        <v>94</v>
      </c>
      <c r="B98" s="157" t="s">
        <v>185</v>
      </c>
      <c r="C98" s="158" t="s">
        <v>189</v>
      </c>
      <c r="D98" s="157" t="s">
        <v>190</v>
      </c>
      <c r="E98" s="12" t="s">
        <v>1322</v>
      </c>
    </row>
    <row r="99" spans="1:5" ht="63">
      <c r="A99" s="19">
        <v>95</v>
      </c>
      <c r="B99" s="157" t="s">
        <v>185</v>
      </c>
      <c r="C99" s="158" t="s">
        <v>191</v>
      </c>
      <c r="D99" s="157" t="s">
        <v>1198</v>
      </c>
      <c r="E99" s="12" t="s">
        <v>1322</v>
      </c>
    </row>
    <row r="100" spans="1:5" ht="63">
      <c r="A100" s="19">
        <v>96</v>
      </c>
      <c r="B100" s="157" t="s">
        <v>185</v>
      </c>
      <c r="C100" s="158" t="s">
        <v>192</v>
      </c>
      <c r="D100" s="158" t="s">
        <v>193</v>
      </c>
      <c r="E100" s="12" t="s">
        <v>1322</v>
      </c>
    </row>
    <row r="101" spans="1:5" ht="63">
      <c r="A101" s="19">
        <v>97</v>
      </c>
      <c r="B101" s="157" t="s">
        <v>185</v>
      </c>
      <c r="C101" s="158" t="s">
        <v>194</v>
      </c>
      <c r="D101" s="157" t="s">
        <v>195</v>
      </c>
      <c r="E101" s="12" t="s">
        <v>1322</v>
      </c>
    </row>
    <row r="102" spans="1:5" ht="94.5">
      <c r="A102" s="19">
        <v>98</v>
      </c>
      <c r="B102" s="157" t="s">
        <v>185</v>
      </c>
      <c r="C102" s="158" t="s">
        <v>80</v>
      </c>
      <c r="D102" s="158" t="s">
        <v>196</v>
      </c>
      <c r="E102" s="12" t="s">
        <v>1320</v>
      </c>
    </row>
    <row r="103" spans="1:5" ht="78.75">
      <c r="A103" s="19">
        <v>99</v>
      </c>
      <c r="B103" s="157" t="s">
        <v>185</v>
      </c>
      <c r="C103" s="158" t="s">
        <v>81</v>
      </c>
      <c r="D103" s="157" t="s">
        <v>197</v>
      </c>
      <c r="E103" s="12" t="s">
        <v>1320</v>
      </c>
    </row>
    <row r="104" spans="1:5" ht="47.25">
      <c r="A104" s="19">
        <v>100</v>
      </c>
      <c r="B104" s="157" t="s">
        <v>185</v>
      </c>
      <c r="C104" s="158" t="s">
        <v>198</v>
      </c>
      <c r="D104" s="157" t="s">
        <v>199</v>
      </c>
      <c r="E104" s="12" t="s">
        <v>1320</v>
      </c>
    </row>
    <row r="105" spans="1:5" ht="78.75">
      <c r="A105" s="19">
        <v>101</v>
      </c>
      <c r="B105" s="157" t="s">
        <v>185</v>
      </c>
      <c r="C105" s="158" t="s">
        <v>82</v>
      </c>
      <c r="D105" s="158" t="s">
        <v>200</v>
      </c>
      <c r="E105" s="12" t="s">
        <v>1320</v>
      </c>
    </row>
    <row r="106" spans="1:5" ht="94.5">
      <c r="A106" s="19">
        <v>102</v>
      </c>
      <c r="B106" s="157" t="s">
        <v>185</v>
      </c>
      <c r="C106" s="158" t="s">
        <v>201</v>
      </c>
      <c r="D106" s="157" t="s">
        <v>202</v>
      </c>
      <c r="E106" s="12" t="s">
        <v>1320</v>
      </c>
    </row>
    <row r="107" spans="1:5" ht="31.5">
      <c r="A107" s="19">
        <v>103</v>
      </c>
      <c r="B107" s="157" t="s">
        <v>185</v>
      </c>
      <c r="C107" s="158" t="s">
        <v>203</v>
      </c>
      <c r="D107" s="157" t="s">
        <v>204</v>
      </c>
      <c r="E107" s="12" t="s">
        <v>1320</v>
      </c>
    </row>
    <row r="108" spans="1:5" ht="63">
      <c r="A108" s="19">
        <v>104</v>
      </c>
      <c r="B108" s="157" t="s">
        <v>185</v>
      </c>
      <c r="C108" s="158" t="s">
        <v>205</v>
      </c>
      <c r="D108" s="157" t="s">
        <v>206</v>
      </c>
      <c r="E108" s="12" t="s">
        <v>1320</v>
      </c>
    </row>
    <row r="109" spans="1:5" ht="63">
      <c r="A109" s="19">
        <v>105</v>
      </c>
      <c r="B109" s="157" t="s">
        <v>185</v>
      </c>
      <c r="C109" s="158" t="s">
        <v>207</v>
      </c>
      <c r="D109" s="157" t="s">
        <v>208</v>
      </c>
      <c r="E109" s="12" t="s">
        <v>1320</v>
      </c>
    </row>
    <row r="110" spans="1:5" ht="78.75">
      <c r="A110" s="19">
        <v>106</v>
      </c>
      <c r="B110" s="157" t="s">
        <v>185</v>
      </c>
      <c r="C110" s="158" t="s">
        <v>209</v>
      </c>
      <c r="D110" s="157" t="s">
        <v>210</v>
      </c>
      <c r="E110" s="12" t="s">
        <v>1320</v>
      </c>
    </row>
    <row r="111" spans="1:5" ht="47.25">
      <c r="A111" s="19">
        <v>107</v>
      </c>
      <c r="B111" s="157" t="s">
        <v>185</v>
      </c>
      <c r="C111" s="158" t="s">
        <v>211</v>
      </c>
      <c r="D111" s="157" t="s">
        <v>212</v>
      </c>
      <c r="E111" s="12" t="s">
        <v>1320</v>
      </c>
    </row>
    <row r="112" spans="1:5" ht="110.25">
      <c r="A112" s="19">
        <v>108</v>
      </c>
      <c r="B112" s="157" t="s">
        <v>185</v>
      </c>
      <c r="C112" s="158" t="s">
        <v>213</v>
      </c>
      <c r="D112" s="157" t="s">
        <v>214</v>
      </c>
      <c r="E112" s="12" t="s">
        <v>1320</v>
      </c>
    </row>
    <row r="113" spans="1:5" ht="78.75">
      <c r="A113" s="19">
        <v>109</v>
      </c>
      <c r="B113" s="157" t="s">
        <v>185</v>
      </c>
      <c r="C113" s="158" t="s">
        <v>215</v>
      </c>
      <c r="D113" s="157" t="s">
        <v>216</v>
      </c>
      <c r="E113" s="12" t="s">
        <v>1322</v>
      </c>
    </row>
    <row r="114" spans="1:5" ht="63">
      <c r="A114" s="19">
        <v>110</v>
      </c>
      <c r="B114" s="157" t="s">
        <v>185</v>
      </c>
      <c r="C114" s="158" t="s">
        <v>217</v>
      </c>
      <c r="D114" s="157" t="s">
        <v>218</v>
      </c>
      <c r="E114" s="12" t="s">
        <v>1322</v>
      </c>
    </row>
    <row r="115" spans="1:5" ht="47.25">
      <c r="A115" s="19">
        <v>111</v>
      </c>
      <c r="B115" s="157" t="s">
        <v>185</v>
      </c>
      <c r="C115" s="158" t="s">
        <v>219</v>
      </c>
      <c r="D115" s="157" t="s">
        <v>220</v>
      </c>
      <c r="E115" s="12" t="s">
        <v>1322</v>
      </c>
    </row>
    <row r="116" spans="1:5" ht="78.75">
      <c r="A116" s="19">
        <v>112</v>
      </c>
      <c r="B116" s="157" t="s">
        <v>185</v>
      </c>
      <c r="C116" s="158" t="s">
        <v>128</v>
      </c>
      <c r="D116" s="157" t="s">
        <v>221</v>
      </c>
      <c r="E116" s="12" t="s">
        <v>1322</v>
      </c>
    </row>
    <row r="117" spans="1:5" ht="78.75">
      <c r="A117" s="5"/>
      <c r="B117" s="6" t="s">
        <v>222</v>
      </c>
      <c r="C117" s="6" t="s">
        <v>1316</v>
      </c>
      <c r="D117" s="6" t="s">
        <v>1169</v>
      </c>
      <c r="E117" s="164" t="s">
        <v>1324</v>
      </c>
    </row>
    <row r="118" spans="1:5" ht="47.25">
      <c r="A118" s="20">
        <v>113</v>
      </c>
      <c r="B118" s="21" t="s">
        <v>222</v>
      </c>
      <c r="C118" s="22" t="s">
        <v>223</v>
      </c>
      <c r="D118" s="21" t="s">
        <v>224</v>
      </c>
      <c r="E118" s="12" t="s">
        <v>1322</v>
      </c>
    </row>
    <row r="119" spans="1:5" ht="63">
      <c r="A119" s="20">
        <v>114</v>
      </c>
      <c r="B119" s="21" t="s">
        <v>222</v>
      </c>
      <c r="C119" s="22" t="s">
        <v>225</v>
      </c>
      <c r="D119" s="21" t="s">
        <v>1199</v>
      </c>
      <c r="E119" s="12" t="s">
        <v>1322</v>
      </c>
    </row>
    <row r="120" spans="1:5" ht="94.5">
      <c r="A120" s="20">
        <v>115</v>
      </c>
      <c r="B120" s="21" t="s">
        <v>222</v>
      </c>
      <c r="C120" s="22" t="s">
        <v>7</v>
      </c>
      <c r="D120" s="21" t="s">
        <v>1200</v>
      </c>
      <c r="E120" s="12" t="s">
        <v>1321</v>
      </c>
    </row>
    <row r="121" spans="1:5" ht="63">
      <c r="A121" s="20">
        <v>116</v>
      </c>
      <c r="B121" s="21" t="s">
        <v>222</v>
      </c>
      <c r="C121" s="22" t="s">
        <v>8</v>
      </c>
      <c r="D121" s="21" t="s">
        <v>226</v>
      </c>
      <c r="E121" s="12" t="s">
        <v>1321</v>
      </c>
    </row>
    <row r="122" spans="1:5" ht="63">
      <c r="A122" s="20">
        <v>117</v>
      </c>
      <c r="B122" s="21" t="s">
        <v>222</v>
      </c>
      <c r="C122" s="22" t="s">
        <v>227</v>
      </c>
      <c r="D122" s="21" t="s">
        <v>1201</v>
      </c>
      <c r="E122" s="12" t="s">
        <v>1321</v>
      </c>
    </row>
    <row r="123" spans="1:5" ht="63">
      <c r="A123" s="20">
        <v>118</v>
      </c>
      <c r="B123" s="21" t="s">
        <v>222</v>
      </c>
      <c r="C123" s="22" t="s">
        <v>228</v>
      </c>
      <c r="D123" s="21" t="s">
        <v>229</v>
      </c>
      <c r="E123" s="12" t="s">
        <v>1321</v>
      </c>
    </row>
    <row r="124" spans="1:5" ht="47.25">
      <c r="A124" s="20">
        <v>119</v>
      </c>
      <c r="B124" s="21" t="s">
        <v>222</v>
      </c>
      <c r="C124" s="22" t="s">
        <v>9</v>
      </c>
      <c r="D124" s="21" t="s">
        <v>1202</v>
      </c>
      <c r="E124" s="12" t="s">
        <v>1321</v>
      </c>
    </row>
    <row r="125" spans="1:5" ht="63">
      <c r="A125" s="20">
        <v>120</v>
      </c>
      <c r="B125" s="21" t="s">
        <v>222</v>
      </c>
      <c r="C125" s="22" t="s">
        <v>10</v>
      </c>
      <c r="D125" s="21" t="s">
        <v>1203</v>
      </c>
      <c r="E125" s="12" t="s">
        <v>1321</v>
      </c>
    </row>
    <row r="126" spans="1:5" ht="47.25">
      <c r="A126" s="20">
        <v>121</v>
      </c>
      <c r="B126" s="21" t="s">
        <v>222</v>
      </c>
      <c r="C126" s="22" t="s">
        <v>11</v>
      </c>
      <c r="D126" s="21" t="s">
        <v>230</v>
      </c>
      <c r="E126" s="12" t="s">
        <v>1321</v>
      </c>
    </row>
    <row r="127" spans="1:5" ht="63">
      <c r="A127" s="20">
        <v>122</v>
      </c>
      <c r="B127" s="21" t="s">
        <v>222</v>
      </c>
      <c r="C127" s="22" t="s">
        <v>231</v>
      </c>
      <c r="D127" s="21" t="s">
        <v>232</v>
      </c>
      <c r="E127" s="12" t="s">
        <v>1321</v>
      </c>
    </row>
    <row r="128" spans="1:5" ht="78.75">
      <c r="A128" s="20">
        <v>123</v>
      </c>
      <c r="B128" s="21" t="s">
        <v>222</v>
      </c>
      <c r="C128" s="22" t="s">
        <v>233</v>
      </c>
      <c r="D128" s="21" t="s">
        <v>1204</v>
      </c>
      <c r="E128" s="12" t="s">
        <v>1321</v>
      </c>
    </row>
    <row r="129" spans="1:5" ht="47.25">
      <c r="A129" s="20">
        <v>124</v>
      </c>
      <c r="B129" s="21" t="s">
        <v>222</v>
      </c>
      <c r="C129" s="22" t="s">
        <v>234</v>
      </c>
      <c r="D129" s="21" t="s">
        <v>235</v>
      </c>
      <c r="E129" s="12" t="s">
        <v>1322</v>
      </c>
    </row>
    <row r="130" spans="1:5" ht="47.25">
      <c r="A130" s="20">
        <v>125</v>
      </c>
      <c r="B130" s="21" t="s">
        <v>222</v>
      </c>
      <c r="C130" s="22" t="s">
        <v>12</v>
      </c>
      <c r="D130" s="21" t="s">
        <v>1205</v>
      </c>
      <c r="E130" s="12" t="s">
        <v>1322</v>
      </c>
    </row>
    <row r="131" spans="1:5" ht="47.25">
      <c r="A131" s="20">
        <v>126</v>
      </c>
      <c r="B131" s="21" t="s">
        <v>222</v>
      </c>
      <c r="C131" s="22" t="s">
        <v>236</v>
      </c>
      <c r="D131" s="21" t="s">
        <v>237</v>
      </c>
      <c r="E131" s="12" t="s">
        <v>1322</v>
      </c>
    </row>
    <row r="132" spans="1:5" ht="94.5">
      <c r="A132" s="20">
        <v>127</v>
      </c>
      <c r="B132" s="21" t="s">
        <v>222</v>
      </c>
      <c r="C132" s="22" t="s">
        <v>238</v>
      </c>
      <c r="D132" s="22" t="s">
        <v>239</v>
      </c>
      <c r="E132" s="12" t="s">
        <v>1322</v>
      </c>
    </row>
    <row r="133" spans="1:5" ht="94.5">
      <c r="A133" s="20">
        <v>128</v>
      </c>
      <c r="B133" s="21" t="s">
        <v>222</v>
      </c>
      <c r="C133" s="22" t="s">
        <v>240</v>
      </c>
      <c r="D133" s="21" t="s">
        <v>241</v>
      </c>
      <c r="E133" s="12" t="s">
        <v>1322</v>
      </c>
    </row>
    <row r="134" spans="1:5" ht="63">
      <c r="A134" s="20">
        <v>129</v>
      </c>
      <c r="B134" s="21" t="s">
        <v>222</v>
      </c>
      <c r="C134" s="22" t="s">
        <v>242</v>
      </c>
      <c r="D134" s="21" t="s">
        <v>243</v>
      </c>
      <c r="E134" s="12" t="s">
        <v>1322</v>
      </c>
    </row>
    <row r="135" spans="1:5" ht="78.75">
      <c r="A135" s="20">
        <v>130</v>
      </c>
      <c r="B135" s="21" t="s">
        <v>222</v>
      </c>
      <c r="C135" s="22" t="s">
        <v>244</v>
      </c>
      <c r="D135" s="21" t="s">
        <v>1206</v>
      </c>
      <c r="E135" s="12" t="s">
        <v>1322</v>
      </c>
    </row>
    <row r="136" spans="1:5" ht="78.75">
      <c r="A136" s="20">
        <v>131</v>
      </c>
      <c r="B136" s="21" t="s">
        <v>222</v>
      </c>
      <c r="C136" s="22" t="s">
        <v>245</v>
      </c>
      <c r="D136" s="21" t="s">
        <v>246</v>
      </c>
      <c r="E136" s="12" t="s">
        <v>1320</v>
      </c>
    </row>
    <row r="137" spans="1:5" ht="94.5">
      <c r="A137" s="20">
        <v>132</v>
      </c>
      <c r="B137" s="21" t="s">
        <v>222</v>
      </c>
      <c r="C137" s="22" t="s">
        <v>247</v>
      </c>
      <c r="D137" s="21" t="s">
        <v>1207</v>
      </c>
      <c r="E137" s="12" t="s">
        <v>1320</v>
      </c>
    </row>
    <row r="138" spans="1:5" ht="78.75">
      <c r="A138" s="20">
        <v>133</v>
      </c>
      <c r="B138" s="21" t="s">
        <v>222</v>
      </c>
      <c r="C138" s="22" t="s">
        <v>248</v>
      </c>
      <c r="D138" s="21" t="s">
        <v>249</v>
      </c>
      <c r="E138" s="12" t="s">
        <v>1320</v>
      </c>
    </row>
    <row r="139" spans="1:5" ht="78.75">
      <c r="A139" s="20">
        <v>134</v>
      </c>
      <c r="B139" s="21" t="s">
        <v>222</v>
      </c>
      <c r="C139" s="22" t="s">
        <v>250</v>
      </c>
      <c r="D139" s="21" t="s">
        <v>251</v>
      </c>
      <c r="E139" s="12" t="s">
        <v>1320</v>
      </c>
    </row>
    <row r="140" spans="1:5" ht="94.5">
      <c r="A140" s="20">
        <v>135</v>
      </c>
      <c r="B140" s="21" t="s">
        <v>222</v>
      </c>
      <c r="C140" s="22" t="s">
        <v>252</v>
      </c>
      <c r="D140" s="21" t="s">
        <v>1208</v>
      </c>
      <c r="E140" s="12" t="s">
        <v>1320</v>
      </c>
    </row>
    <row r="141" spans="1:5" ht="63">
      <c r="A141" s="20">
        <v>136</v>
      </c>
      <c r="B141" s="21" t="s">
        <v>222</v>
      </c>
      <c r="C141" s="22" t="s">
        <v>13</v>
      </c>
      <c r="D141" s="21" t="s">
        <v>1209</v>
      </c>
      <c r="E141" s="12" t="s">
        <v>1320</v>
      </c>
    </row>
    <row r="142" spans="1:5" ht="110.25">
      <c r="A142" s="20">
        <v>137</v>
      </c>
      <c r="B142" s="21" t="s">
        <v>222</v>
      </c>
      <c r="C142" s="22" t="s">
        <v>253</v>
      </c>
      <c r="D142" s="21" t="s">
        <v>1210</v>
      </c>
      <c r="E142" s="12" t="s">
        <v>1320</v>
      </c>
    </row>
    <row r="143" spans="1:5" ht="78.75">
      <c r="A143" s="20">
        <v>138</v>
      </c>
      <c r="B143" s="21" t="s">
        <v>222</v>
      </c>
      <c r="C143" s="22" t="s">
        <v>254</v>
      </c>
      <c r="D143" s="21" t="s">
        <v>1211</v>
      </c>
      <c r="E143" s="12" t="s">
        <v>1320</v>
      </c>
    </row>
    <row r="144" spans="1:5" ht="78.75">
      <c r="A144" s="20">
        <v>139</v>
      </c>
      <c r="B144" s="21" t="s">
        <v>222</v>
      </c>
      <c r="C144" s="22" t="s">
        <v>255</v>
      </c>
      <c r="D144" s="21" t="s">
        <v>256</v>
      </c>
      <c r="E144" s="12" t="s">
        <v>1320</v>
      </c>
    </row>
    <row r="145" spans="1:5" ht="47.25">
      <c r="A145" s="20">
        <v>140</v>
      </c>
      <c r="B145" s="21" t="s">
        <v>222</v>
      </c>
      <c r="C145" s="22" t="s">
        <v>257</v>
      </c>
      <c r="D145" s="21" t="s">
        <v>258</v>
      </c>
      <c r="E145" s="12" t="s">
        <v>1320</v>
      </c>
    </row>
    <row r="146" spans="1:5" ht="47.25">
      <c r="A146" s="20">
        <v>141</v>
      </c>
      <c r="B146" s="21" t="s">
        <v>222</v>
      </c>
      <c r="C146" s="22" t="s">
        <v>259</v>
      </c>
      <c r="D146" s="22" t="s">
        <v>260</v>
      </c>
      <c r="E146" s="12" t="s">
        <v>1320</v>
      </c>
    </row>
    <row r="147" spans="1:5" ht="63">
      <c r="A147" s="20">
        <v>142</v>
      </c>
      <c r="B147" s="21" t="s">
        <v>222</v>
      </c>
      <c r="C147" s="22" t="s">
        <v>261</v>
      </c>
      <c r="D147" s="21" t="s">
        <v>262</v>
      </c>
      <c r="E147" s="12" t="s">
        <v>1320</v>
      </c>
    </row>
    <row r="148" spans="1:5" ht="63">
      <c r="A148" s="20">
        <v>143</v>
      </c>
      <c r="B148" s="21" t="s">
        <v>222</v>
      </c>
      <c r="C148" s="22" t="s">
        <v>263</v>
      </c>
      <c r="D148" s="22" t="s">
        <v>264</v>
      </c>
      <c r="E148" s="12" t="s">
        <v>1320</v>
      </c>
    </row>
    <row r="149" spans="1:5" ht="47.25">
      <c r="A149" s="20">
        <v>144</v>
      </c>
      <c r="B149" s="21" t="s">
        <v>222</v>
      </c>
      <c r="C149" s="22" t="s">
        <v>265</v>
      </c>
      <c r="D149" s="21" t="s">
        <v>266</v>
      </c>
      <c r="E149" s="12" t="s">
        <v>1320</v>
      </c>
    </row>
    <row r="150" spans="1:5" ht="63">
      <c r="A150" s="20">
        <v>145</v>
      </c>
      <c r="B150" s="21" t="s">
        <v>222</v>
      </c>
      <c r="C150" s="22" t="s">
        <v>267</v>
      </c>
      <c r="D150" s="22" t="s">
        <v>268</v>
      </c>
      <c r="E150" s="12" t="s">
        <v>1320</v>
      </c>
    </row>
    <row r="151" spans="1:5" ht="47.25">
      <c r="A151" s="20">
        <v>146</v>
      </c>
      <c r="B151" s="21" t="s">
        <v>222</v>
      </c>
      <c r="C151" s="22" t="s">
        <v>269</v>
      </c>
      <c r="D151" s="22" t="s">
        <v>270</v>
      </c>
      <c r="E151" s="12" t="s">
        <v>1320</v>
      </c>
    </row>
    <row r="152" spans="1:5" ht="78.75">
      <c r="A152" s="20">
        <v>147</v>
      </c>
      <c r="B152" s="21" t="s">
        <v>222</v>
      </c>
      <c r="C152" s="22" t="s">
        <v>271</v>
      </c>
      <c r="D152" s="21" t="s">
        <v>1212</v>
      </c>
      <c r="E152" s="12" t="s">
        <v>1320</v>
      </c>
    </row>
    <row r="153" spans="1:5" ht="63">
      <c r="A153" s="20">
        <v>148</v>
      </c>
      <c r="B153" s="21" t="s">
        <v>222</v>
      </c>
      <c r="C153" s="22" t="s">
        <v>272</v>
      </c>
      <c r="D153" s="22" t="s">
        <v>273</v>
      </c>
      <c r="E153" s="12" t="s">
        <v>1320</v>
      </c>
    </row>
    <row r="154" spans="1:5" ht="94.5">
      <c r="A154" s="20">
        <v>149</v>
      </c>
      <c r="B154" s="21" t="s">
        <v>222</v>
      </c>
      <c r="C154" s="22" t="s">
        <v>274</v>
      </c>
      <c r="D154" s="22" t="s">
        <v>275</v>
      </c>
      <c r="E154" s="12" t="s">
        <v>1320</v>
      </c>
    </row>
    <row r="155" spans="1:5" ht="47.25">
      <c r="A155" s="20">
        <v>150</v>
      </c>
      <c r="B155" s="21" t="s">
        <v>222</v>
      </c>
      <c r="C155" s="22" t="s">
        <v>276</v>
      </c>
      <c r="D155" s="21" t="s">
        <v>277</v>
      </c>
      <c r="E155" s="12" t="s">
        <v>1322</v>
      </c>
    </row>
    <row r="156" spans="1:5" ht="78.75">
      <c r="A156" s="5"/>
      <c r="B156" s="6" t="s">
        <v>278</v>
      </c>
      <c r="C156" s="6" t="s">
        <v>1316</v>
      </c>
      <c r="D156" s="6" t="s">
        <v>1170</v>
      </c>
      <c r="E156" s="164" t="s">
        <v>1324</v>
      </c>
    </row>
    <row r="157" spans="1:5" ht="78.75">
      <c r="A157" s="23">
        <v>151</v>
      </c>
      <c r="B157" s="24" t="s">
        <v>278</v>
      </c>
      <c r="C157" s="25" t="s">
        <v>279</v>
      </c>
      <c r="D157" s="24" t="s">
        <v>280</v>
      </c>
      <c r="E157" s="12" t="s">
        <v>1322</v>
      </c>
    </row>
    <row r="158" spans="1:5" ht="31.5">
      <c r="A158" s="23">
        <v>152</v>
      </c>
      <c r="B158" s="24" t="s">
        <v>278</v>
      </c>
      <c r="C158" s="25" t="s">
        <v>281</v>
      </c>
      <c r="D158" s="24" t="s">
        <v>282</v>
      </c>
      <c r="E158" s="12" t="s">
        <v>1322</v>
      </c>
    </row>
    <row r="159" spans="1:5" ht="31.5">
      <c r="A159" s="23">
        <v>153</v>
      </c>
      <c r="B159" s="24" t="s">
        <v>278</v>
      </c>
      <c r="C159" s="25" t="s">
        <v>283</v>
      </c>
      <c r="D159" s="24" t="s">
        <v>284</v>
      </c>
      <c r="E159" s="12" t="s">
        <v>1322</v>
      </c>
    </row>
    <row r="160" spans="1:5" ht="63">
      <c r="A160" s="23">
        <v>154</v>
      </c>
      <c r="B160" s="24" t="s">
        <v>278</v>
      </c>
      <c r="C160" s="25" t="s">
        <v>285</v>
      </c>
      <c r="D160" s="24" t="s">
        <v>286</v>
      </c>
      <c r="E160" s="12" t="s">
        <v>1321</v>
      </c>
    </row>
    <row r="161" spans="1:5" ht="110.25">
      <c r="A161" s="23">
        <v>155</v>
      </c>
      <c r="B161" s="24" t="s">
        <v>278</v>
      </c>
      <c r="C161" s="25" t="s">
        <v>287</v>
      </c>
      <c r="D161" s="24" t="s">
        <v>1213</v>
      </c>
      <c r="E161" s="12" t="s">
        <v>1321</v>
      </c>
    </row>
    <row r="162" spans="1:5" ht="47.25">
      <c r="A162" s="23">
        <v>156</v>
      </c>
      <c r="B162" s="24" t="s">
        <v>278</v>
      </c>
      <c r="C162" s="25" t="s">
        <v>288</v>
      </c>
      <c r="D162" s="24" t="s">
        <v>289</v>
      </c>
      <c r="E162" s="12" t="s">
        <v>1321</v>
      </c>
    </row>
    <row r="163" spans="1:5" ht="78.75">
      <c r="A163" s="23">
        <v>157</v>
      </c>
      <c r="B163" s="24" t="s">
        <v>278</v>
      </c>
      <c r="C163" s="25" t="s">
        <v>290</v>
      </c>
      <c r="D163" s="24" t="s">
        <v>291</v>
      </c>
      <c r="E163" s="12" t="s">
        <v>1321</v>
      </c>
    </row>
    <row r="164" spans="1:5" ht="31.5">
      <c r="A164" s="23">
        <v>158</v>
      </c>
      <c r="B164" s="24" t="s">
        <v>278</v>
      </c>
      <c r="C164" s="25" t="s">
        <v>292</v>
      </c>
      <c r="D164" s="24" t="s">
        <v>293</v>
      </c>
      <c r="E164" s="12" t="s">
        <v>1321</v>
      </c>
    </row>
    <row r="165" spans="1:5" ht="78.75">
      <c r="A165" s="23">
        <v>159</v>
      </c>
      <c r="B165" s="24" t="s">
        <v>278</v>
      </c>
      <c r="C165" s="25" t="s">
        <v>294</v>
      </c>
      <c r="D165" s="25" t="s">
        <v>295</v>
      </c>
      <c r="E165" s="12" t="s">
        <v>1321</v>
      </c>
    </row>
    <row r="166" spans="1:5" ht="94.5">
      <c r="A166" s="23">
        <v>160</v>
      </c>
      <c r="B166" s="24" t="s">
        <v>278</v>
      </c>
      <c r="C166" s="25" t="s">
        <v>296</v>
      </c>
      <c r="D166" s="24" t="s">
        <v>297</v>
      </c>
      <c r="E166" s="12" t="s">
        <v>1321</v>
      </c>
    </row>
    <row r="167" spans="1:5" ht="63">
      <c r="A167" s="23">
        <v>161</v>
      </c>
      <c r="B167" s="24" t="s">
        <v>278</v>
      </c>
      <c r="C167" s="25" t="s">
        <v>298</v>
      </c>
      <c r="D167" s="24" t="s">
        <v>299</v>
      </c>
      <c r="E167" s="12" t="s">
        <v>1322</v>
      </c>
    </row>
    <row r="168" spans="1:5" ht="47.25">
      <c r="A168" s="23">
        <v>162</v>
      </c>
      <c r="B168" s="24" t="s">
        <v>278</v>
      </c>
      <c r="C168" s="25" t="s">
        <v>300</v>
      </c>
      <c r="D168" s="24" t="s">
        <v>301</v>
      </c>
      <c r="E168" s="12" t="s">
        <v>1322</v>
      </c>
    </row>
    <row r="169" spans="1:5" ht="47.25">
      <c r="A169" s="23">
        <v>163</v>
      </c>
      <c r="B169" s="24" t="s">
        <v>278</v>
      </c>
      <c r="C169" s="25" t="s">
        <v>302</v>
      </c>
      <c r="D169" s="24" t="s">
        <v>303</v>
      </c>
      <c r="E169" s="12" t="s">
        <v>1322</v>
      </c>
    </row>
    <row r="170" spans="1:5" ht="78.75">
      <c r="A170" s="23">
        <v>164</v>
      </c>
      <c r="B170" s="24" t="s">
        <v>278</v>
      </c>
      <c r="C170" s="25" t="s">
        <v>304</v>
      </c>
      <c r="D170" s="24" t="s">
        <v>1214</v>
      </c>
      <c r="E170" s="12" t="s">
        <v>1322</v>
      </c>
    </row>
    <row r="171" spans="1:5" ht="63">
      <c r="A171" s="23">
        <v>165</v>
      </c>
      <c r="B171" s="24" t="s">
        <v>278</v>
      </c>
      <c r="C171" s="25" t="s">
        <v>305</v>
      </c>
      <c r="D171" s="24" t="s">
        <v>306</v>
      </c>
      <c r="E171" s="12" t="s">
        <v>1322</v>
      </c>
    </row>
    <row r="172" spans="1:5" ht="63">
      <c r="A172" s="23">
        <v>166</v>
      </c>
      <c r="B172" s="24" t="s">
        <v>278</v>
      </c>
      <c r="C172" s="25" t="s">
        <v>307</v>
      </c>
      <c r="D172" s="24" t="s">
        <v>308</v>
      </c>
      <c r="E172" s="12" t="s">
        <v>1322</v>
      </c>
    </row>
    <row r="173" spans="1:5" ht="78.75">
      <c r="A173" s="23">
        <v>167</v>
      </c>
      <c r="B173" s="24" t="s">
        <v>278</v>
      </c>
      <c r="C173" s="25" t="s">
        <v>309</v>
      </c>
      <c r="D173" s="24" t="s">
        <v>1215</v>
      </c>
      <c r="E173" s="12" t="s">
        <v>1322</v>
      </c>
    </row>
    <row r="174" spans="1:5" ht="78.75">
      <c r="A174" s="23">
        <v>168</v>
      </c>
      <c r="B174" s="24" t="s">
        <v>278</v>
      </c>
      <c r="C174" s="25" t="s">
        <v>310</v>
      </c>
      <c r="D174" s="24" t="s">
        <v>311</v>
      </c>
      <c r="E174" s="12" t="s">
        <v>1320</v>
      </c>
    </row>
    <row r="175" spans="1:5" ht="47.25">
      <c r="A175" s="23">
        <v>169</v>
      </c>
      <c r="B175" s="24" t="s">
        <v>278</v>
      </c>
      <c r="C175" s="25" t="s">
        <v>312</v>
      </c>
      <c r="D175" s="24" t="s">
        <v>313</v>
      </c>
      <c r="E175" s="12" t="s">
        <v>1320</v>
      </c>
    </row>
    <row r="176" spans="1:5" ht="63">
      <c r="A176" s="23">
        <v>170</v>
      </c>
      <c r="B176" s="24" t="s">
        <v>278</v>
      </c>
      <c r="C176" s="25" t="s">
        <v>314</v>
      </c>
      <c r="D176" s="24" t="s">
        <v>1216</v>
      </c>
      <c r="E176" s="12" t="s">
        <v>1320</v>
      </c>
    </row>
    <row r="177" spans="1:5" ht="47.25">
      <c r="A177" s="23">
        <v>171</v>
      </c>
      <c r="B177" s="24" t="s">
        <v>278</v>
      </c>
      <c r="C177" s="25" t="s">
        <v>315</v>
      </c>
      <c r="D177" s="24" t="s">
        <v>1217</v>
      </c>
      <c r="E177" s="12" t="s">
        <v>1320</v>
      </c>
    </row>
    <row r="178" spans="1:5" ht="94.5">
      <c r="A178" s="23">
        <v>172</v>
      </c>
      <c r="B178" s="24" t="s">
        <v>278</v>
      </c>
      <c r="C178" s="25" t="s">
        <v>316</v>
      </c>
      <c r="D178" s="24" t="s">
        <v>1218</v>
      </c>
      <c r="E178" s="12" t="s">
        <v>1320</v>
      </c>
    </row>
    <row r="179" spans="1:5" ht="63">
      <c r="A179" s="23">
        <v>173</v>
      </c>
      <c r="B179" s="24" t="s">
        <v>278</v>
      </c>
      <c r="C179" s="25" t="s">
        <v>317</v>
      </c>
      <c r="D179" s="24" t="s">
        <v>318</v>
      </c>
      <c r="E179" s="12" t="s">
        <v>1320</v>
      </c>
    </row>
    <row r="180" spans="1:5" ht="78.75">
      <c r="A180" s="23">
        <v>174</v>
      </c>
      <c r="B180" s="24" t="s">
        <v>278</v>
      </c>
      <c r="C180" s="25" t="s">
        <v>319</v>
      </c>
      <c r="D180" s="25" t="s">
        <v>320</v>
      </c>
      <c r="E180" s="12" t="s">
        <v>1320</v>
      </c>
    </row>
    <row r="181" spans="1:5" ht="63">
      <c r="A181" s="23">
        <v>175</v>
      </c>
      <c r="B181" s="24" t="s">
        <v>278</v>
      </c>
      <c r="C181" s="25" t="s">
        <v>321</v>
      </c>
      <c r="D181" s="24" t="s">
        <v>322</v>
      </c>
      <c r="E181" s="12" t="s">
        <v>1320</v>
      </c>
    </row>
    <row r="182" spans="1:5" ht="47.25">
      <c r="A182" s="23">
        <v>176</v>
      </c>
      <c r="B182" s="24" t="s">
        <v>278</v>
      </c>
      <c r="C182" s="25" t="s">
        <v>323</v>
      </c>
      <c r="D182" s="24" t="s">
        <v>1219</v>
      </c>
      <c r="E182" s="12" t="s">
        <v>1320</v>
      </c>
    </row>
    <row r="183" spans="1:5" ht="78.75">
      <c r="A183" s="23">
        <v>177</v>
      </c>
      <c r="B183" s="24" t="s">
        <v>278</v>
      </c>
      <c r="C183" s="25" t="s">
        <v>324</v>
      </c>
      <c r="D183" s="24" t="s">
        <v>1220</v>
      </c>
      <c r="E183" s="12" t="s">
        <v>1320</v>
      </c>
    </row>
    <row r="184" spans="1:5" ht="63">
      <c r="A184" s="23">
        <v>178</v>
      </c>
      <c r="B184" s="24" t="s">
        <v>278</v>
      </c>
      <c r="C184" s="25" t="s">
        <v>325</v>
      </c>
      <c r="D184" s="24" t="s">
        <v>326</v>
      </c>
      <c r="E184" s="12" t="s">
        <v>1320</v>
      </c>
    </row>
    <row r="185" spans="1:5" ht="47.25">
      <c r="A185" s="23">
        <v>179</v>
      </c>
      <c r="B185" s="24" t="s">
        <v>278</v>
      </c>
      <c r="C185" s="25" t="s">
        <v>327</v>
      </c>
      <c r="D185" s="24" t="s">
        <v>328</v>
      </c>
      <c r="E185" s="12" t="s">
        <v>1320</v>
      </c>
    </row>
    <row r="186" spans="1:5" ht="63">
      <c r="A186" s="23">
        <v>180</v>
      </c>
      <c r="B186" s="24" t="s">
        <v>278</v>
      </c>
      <c r="C186" s="25" t="s">
        <v>329</v>
      </c>
      <c r="D186" s="24" t="s">
        <v>330</v>
      </c>
      <c r="E186" s="12" t="s">
        <v>1320</v>
      </c>
    </row>
    <row r="187" spans="1:5" ht="63">
      <c r="A187" s="23">
        <v>181</v>
      </c>
      <c r="B187" s="24" t="s">
        <v>278</v>
      </c>
      <c r="C187" s="25" t="s">
        <v>331</v>
      </c>
      <c r="D187" s="24" t="s">
        <v>332</v>
      </c>
      <c r="E187" s="12" t="s">
        <v>1320</v>
      </c>
    </row>
    <row r="188" spans="1:5" ht="47.25">
      <c r="A188" s="23">
        <v>182</v>
      </c>
      <c r="B188" s="24" t="s">
        <v>278</v>
      </c>
      <c r="C188" s="25" t="s">
        <v>333</v>
      </c>
      <c r="D188" s="24" t="s">
        <v>334</v>
      </c>
      <c r="E188" s="12" t="s">
        <v>1320</v>
      </c>
    </row>
    <row r="189" spans="1:5" ht="47.25">
      <c r="A189" s="23">
        <v>183</v>
      </c>
      <c r="B189" s="24" t="s">
        <v>278</v>
      </c>
      <c r="C189" s="25" t="s">
        <v>335</v>
      </c>
      <c r="D189" s="24" t="s">
        <v>336</v>
      </c>
      <c r="E189" s="12" t="s">
        <v>1320</v>
      </c>
    </row>
    <row r="190" spans="1:5" ht="31.5">
      <c r="A190" s="23">
        <v>184</v>
      </c>
      <c r="B190" s="24" t="s">
        <v>278</v>
      </c>
      <c r="C190" s="25" t="s">
        <v>337</v>
      </c>
      <c r="D190" s="24" t="s">
        <v>338</v>
      </c>
      <c r="E190" s="12" t="s">
        <v>1320</v>
      </c>
    </row>
    <row r="191" spans="1:5" ht="63">
      <c r="A191" s="23">
        <v>185</v>
      </c>
      <c r="B191" s="24" t="s">
        <v>278</v>
      </c>
      <c r="C191" s="25" t="s">
        <v>339</v>
      </c>
      <c r="D191" s="24" t="s">
        <v>1221</v>
      </c>
      <c r="E191" s="12" t="s">
        <v>1320</v>
      </c>
    </row>
    <row r="192" spans="1:5" ht="47.25">
      <c r="A192" s="23">
        <v>186</v>
      </c>
      <c r="B192" s="24" t="s">
        <v>278</v>
      </c>
      <c r="C192" s="25" t="s">
        <v>340</v>
      </c>
      <c r="D192" s="24" t="s">
        <v>341</v>
      </c>
      <c r="E192" s="12" t="s">
        <v>1320</v>
      </c>
    </row>
    <row r="193" spans="1:5" ht="63">
      <c r="A193" s="23">
        <v>187</v>
      </c>
      <c r="B193" s="24" t="s">
        <v>278</v>
      </c>
      <c r="C193" s="25" t="s">
        <v>342</v>
      </c>
      <c r="D193" s="24" t="s">
        <v>1222</v>
      </c>
      <c r="E193" s="12" t="s">
        <v>1320</v>
      </c>
    </row>
    <row r="194" spans="1:5" ht="110.25">
      <c r="A194" s="23">
        <v>188</v>
      </c>
      <c r="B194" s="24" t="s">
        <v>278</v>
      </c>
      <c r="C194" s="25" t="s">
        <v>343</v>
      </c>
      <c r="D194" s="24" t="s">
        <v>1223</v>
      </c>
      <c r="E194" s="12" t="s">
        <v>1322</v>
      </c>
    </row>
    <row r="195" spans="1:5" ht="63">
      <c r="A195" s="23">
        <v>189</v>
      </c>
      <c r="B195" s="24" t="s">
        <v>278</v>
      </c>
      <c r="C195" s="25" t="s">
        <v>344</v>
      </c>
      <c r="D195" s="24" t="s">
        <v>345</v>
      </c>
      <c r="E195" s="12" t="s">
        <v>1322</v>
      </c>
    </row>
    <row r="196" spans="1:5" ht="63">
      <c r="A196" s="23">
        <v>190</v>
      </c>
      <c r="B196" s="24" t="s">
        <v>278</v>
      </c>
      <c r="C196" s="25" t="s">
        <v>346</v>
      </c>
      <c r="D196" s="24" t="s">
        <v>347</v>
      </c>
      <c r="E196" s="12" t="s">
        <v>1322</v>
      </c>
    </row>
    <row r="197" spans="1:5" ht="126">
      <c r="A197" s="23">
        <v>191</v>
      </c>
      <c r="B197" s="24" t="s">
        <v>278</v>
      </c>
      <c r="C197" s="25" t="s">
        <v>348</v>
      </c>
      <c r="D197" s="24" t="s">
        <v>1224</v>
      </c>
      <c r="E197" s="12" t="s">
        <v>1322</v>
      </c>
    </row>
    <row r="198" spans="1:5" ht="63">
      <c r="A198" s="23">
        <v>192</v>
      </c>
      <c r="B198" s="24" t="s">
        <v>278</v>
      </c>
      <c r="C198" s="25" t="s">
        <v>349</v>
      </c>
      <c r="D198" s="24" t="s">
        <v>350</v>
      </c>
      <c r="E198" s="12" t="s">
        <v>1322</v>
      </c>
    </row>
    <row r="199" spans="1:5" ht="63">
      <c r="A199" s="23">
        <v>193</v>
      </c>
      <c r="B199" s="24" t="s">
        <v>278</v>
      </c>
      <c r="C199" s="25" t="s">
        <v>351</v>
      </c>
      <c r="D199" s="24" t="s">
        <v>352</v>
      </c>
      <c r="E199" s="12" t="s">
        <v>1322</v>
      </c>
    </row>
    <row r="200" spans="1:5" ht="78.75">
      <c r="A200" s="23">
        <v>194</v>
      </c>
      <c r="B200" s="24" t="s">
        <v>278</v>
      </c>
      <c r="C200" s="25" t="s">
        <v>353</v>
      </c>
      <c r="D200" s="24" t="s">
        <v>354</v>
      </c>
      <c r="E200" s="12" t="s">
        <v>1322</v>
      </c>
    </row>
    <row r="201" spans="1:5" ht="63">
      <c r="A201" s="23">
        <v>195</v>
      </c>
      <c r="B201" s="24" t="s">
        <v>278</v>
      </c>
      <c r="C201" s="25" t="s">
        <v>355</v>
      </c>
      <c r="D201" s="24" t="s">
        <v>1225</v>
      </c>
      <c r="E201" s="12" t="s">
        <v>1322</v>
      </c>
    </row>
    <row r="202" spans="1:5" ht="63">
      <c r="A202" s="23">
        <v>196</v>
      </c>
      <c r="B202" s="24" t="s">
        <v>278</v>
      </c>
      <c r="C202" s="25" t="s">
        <v>356</v>
      </c>
      <c r="D202" s="24" t="s">
        <v>357</v>
      </c>
      <c r="E202" s="12" t="s">
        <v>1322</v>
      </c>
    </row>
    <row r="203" spans="1:5" ht="110.25">
      <c r="A203" s="23">
        <v>197</v>
      </c>
      <c r="B203" s="24" t="s">
        <v>278</v>
      </c>
      <c r="C203" s="25" t="s">
        <v>358</v>
      </c>
      <c r="D203" s="25" t="s">
        <v>359</v>
      </c>
      <c r="E203" s="12" t="s">
        <v>1322</v>
      </c>
    </row>
    <row r="204" spans="1:5" ht="47.25">
      <c r="A204" s="23">
        <v>198</v>
      </c>
      <c r="B204" s="24" t="s">
        <v>278</v>
      </c>
      <c r="C204" s="25" t="s">
        <v>360</v>
      </c>
      <c r="D204" s="24" t="s">
        <v>1226</v>
      </c>
      <c r="E204" s="12" t="s">
        <v>1322</v>
      </c>
    </row>
    <row r="205" spans="1:5" ht="78.75">
      <c r="A205" s="23">
        <v>199</v>
      </c>
      <c r="B205" s="24" t="s">
        <v>278</v>
      </c>
      <c r="C205" s="25" t="s">
        <v>361</v>
      </c>
      <c r="D205" s="24" t="s">
        <v>362</v>
      </c>
      <c r="E205" s="12" t="s">
        <v>1322</v>
      </c>
    </row>
    <row r="206" spans="1:5" ht="63">
      <c r="A206" s="23">
        <v>200</v>
      </c>
      <c r="B206" s="24" t="s">
        <v>278</v>
      </c>
      <c r="C206" s="25" t="s">
        <v>363</v>
      </c>
      <c r="D206" s="24" t="s">
        <v>1227</v>
      </c>
      <c r="E206" s="12" t="s">
        <v>1321</v>
      </c>
    </row>
    <row r="207" spans="1:5" ht="63">
      <c r="A207" s="23">
        <v>201</v>
      </c>
      <c r="B207" s="24" t="s">
        <v>278</v>
      </c>
      <c r="C207" s="25" t="s">
        <v>364</v>
      </c>
      <c r="D207" s="24" t="s">
        <v>365</v>
      </c>
      <c r="E207" s="12" t="s">
        <v>1321</v>
      </c>
    </row>
    <row r="208" spans="1:5" ht="78.75">
      <c r="A208" s="23">
        <v>202</v>
      </c>
      <c r="B208" s="24" t="s">
        <v>278</v>
      </c>
      <c r="C208" s="25" t="s">
        <v>366</v>
      </c>
      <c r="D208" s="24" t="s">
        <v>1228</v>
      </c>
      <c r="E208" s="12" t="s">
        <v>1321</v>
      </c>
    </row>
    <row r="209" spans="1:5" ht="94.5">
      <c r="A209" s="23">
        <v>203</v>
      </c>
      <c r="B209" s="24" t="s">
        <v>278</v>
      </c>
      <c r="C209" s="25" t="s">
        <v>367</v>
      </c>
      <c r="D209" s="24" t="s">
        <v>1229</v>
      </c>
      <c r="E209" s="12" t="s">
        <v>1321</v>
      </c>
    </row>
    <row r="210" spans="1:5" ht="78.75">
      <c r="A210" s="23">
        <v>204</v>
      </c>
      <c r="B210" s="24" t="s">
        <v>278</v>
      </c>
      <c r="C210" s="25" t="s">
        <v>368</v>
      </c>
      <c r="D210" s="24" t="s">
        <v>369</v>
      </c>
      <c r="E210" s="12" t="s">
        <v>1321</v>
      </c>
    </row>
    <row r="211" spans="1:5" ht="63">
      <c r="A211" s="23">
        <v>205</v>
      </c>
      <c r="B211" s="24" t="s">
        <v>278</v>
      </c>
      <c r="C211" s="25" t="s">
        <v>370</v>
      </c>
      <c r="D211" s="24" t="s">
        <v>1230</v>
      </c>
      <c r="E211" s="12" t="s">
        <v>1321</v>
      </c>
    </row>
    <row r="212" spans="1:5" ht="47.25">
      <c r="A212" s="23">
        <v>206</v>
      </c>
      <c r="B212" s="24" t="s">
        <v>278</v>
      </c>
      <c r="C212" s="25" t="s">
        <v>371</v>
      </c>
      <c r="D212" s="25" t="s">
        <v>372</v>
      </c>
      <c r="E212" s="12" t="s">
        <v>1321</v>
      </c>
    </row>
    <row r="213" spans="1:5" ht="63">
      <c r="A213" s="23">
        <v>207</v>
      </c>
      <c r="B213" s="24" t="s">
        <v>278</v>
      </c>
      <c r="C213" s="25" t="s">
        <v>373</v>
      </c>
      <c r="D213" s="25" t="s">
        <v>374</v>
      </c>
      <c r="E213" s="12" t="s">
        <v>1321</v>
      </c>
    </row>
    <row r="214" spans="1:5" ht="47.25">
      <c r="A214" s="23">
        <v>208</v>
      </c>
      <c r="B214" s="24" t="s">
        <v>278</v>
      </c>
      <c r="C214" s="25" t="s">
        <v>375</v>
      </c>
      <c r="D214" s="24" t="s">
        <v>376</v>
      </c>
      <c r="E214" s="12" t="s">
        <v>1321</v>
      </c>
    </row>
    <row r="215" spans="1:5" ht="94.5">
      <c r="A215" s="23">
        <v>209</v>
      </c>
      <c r="B215" s="24" t="s">
        <v>278</v>
      </c>
      <c r="C215" s="25" t="s">
        <v>377</v>
      </c>
      <c r="D215" s="24" t="s">
        <v>378</v>
      </c>
      <c r="E215" s="12" t="s">
        <v>1321</v>
      </c>
    </row>
    <row r="216" spans="1:5" ht="110.25">
      <c r="A216" s="23">
        <v>210</v>
      </c>
      <c r="B216" s="24" t="s">
        <v>278</v>
      </c>
      <c r="C216" s="25" t="s">
        <v>379</v>
      </c>
      <c r="D216" s="24" t="s">
        <v>1231</v>
      </c>
      <c r="E216" s="12" t="s">
        <v>1321</v>
      </c>
    </row>
    <row r="217" spans="1:5" ht="63">
      <c r="A217" s="23">
        <v>211</v>
      </c>
      <c r="B217" s="24" t="s">
        <v>278</v>
      </c>
      <c r="C217" s="25" t="s">
        <v>191</v>
      </c>
      <c r="D217" s="24" t="s">
        <v>1198</v>
      </c>
      <c r="E217" s="12" t="s">
        <v>1321</v>
      </c>
    </row>
    <row r="218" spans="1:5" ht="63">
      <c r="A218" s="23">
        <v>212</v>
      </c>
      <c r="B218" s="24" t="s">
        <v>278</v>
      </c>
      <c r="C218" s="25" t="s">
        <v>380</v>
      </c>
      <c r="D218" s="24" t="s">
        <v>381</v>
      </c>
      <c r="E218" s="12" t="s">
        <v>1321</v>
      </c>
    </row>
    <row r="219" spans="1:5" ht="47.25">
      <c r="A219" s="23">
        <v>213</v>
      </c>
      <c r="B219" s="24" t="s">
        <v>278</v>
      </c>
      <c r="C219" s="25" t="s">
        <v>382</v>
      </c>
      <c r="D219" s="24" t="s">
        <v>383</v>
      </c>
      <c r="E219" s="12" t="s">
        <v>1321</v>
      </c>
    </row>
    <row r="220" spans="1:5" ht="63">
      <c r="A220" s="23">
        <v>214</v>
      </c>
      <c r="B220" s="24" t="s">
        <v>278</v>
      </c>
      <c r="C220" s="25" t="s">
        <v>384</v>
      </c>
      <c r="D220" s="25" t="s">
        <v>385</v>
      </c>
      <c r="E220" s="12" t="s">
        <v>1321</v>
      </c>
    </row>
    <row r="221" spans="1:5" ht="110.25">
      <c r="A221" s="23">
        <v>215</v>
      </c>
      <c r="B221" s="24" t="s">
        <v>278</v>
      </c>
      <c r="C221" s="25" t="s">
        <v>386</v>
      </c>
      <c r="D221" s="24" t="s">
        <v>1232</v>
      </c>
      <c r="E221" s="12" t="s">
        <v>1322</v>
      </c>
    </row>
    <row r="222" spans="1:5" ht="94.5">
      <c r="A222" s="23">
        <v>216</v>
      </c>
      <c r="B222" s="24" t="s">
        <v>278</v>
      </c>
      <c r="C222" s="25" t="s">
        <v>387</v>
      </c>
      <c r="D222" s="24" t="s">
        <v>388</v>
      </c>
      <c r="E222" s="12" t="s">
        <v>1322</v>
      </c>
    </row>
    <row r="223" spans="1:5" ht="110.25">
      <c r="A223" s="23">
        <v>217</v>
      </c>
      <c r="B223" s="24" t="s">
        <v>278</v>
      </c>
      <c r="C223" s="25" t="s">
        <v>389</v>
      </c>
      <c r="D223" s="24" t="s">
        <v>1233</v>
      </c>
      <c r="E223" s="12" t="s">
        <v>1322</v>
      </c>
    </row>
    <row r="224" spans="1:5" ht="47.25">
      <c r="A224" s="23">
        <v>218</v>
      </c>
      <c r="B224" s="24" t="s">
        <v>278</v>
      </c>
      <c r="C224" s="25" t="s">
        <v>390</v>
      </c>
      <c r="D224" s="24" t="s">
        <v>391</v>
      </c>
      <c r="E224" s="12" t="s">
        <v>1322</v>
      </c>
    </row>
    <row r="225" spans="1:5" ht="63">
      <c r="A225" s="23">
        <v>219</v>
      </c>
      <c r="B225" s="24" t="s">
        <v>278</v>
      </c>
      <c r="C225" s="25" t="s">
        <v>392</v>
      </c>
      <c r="D225" s="24" t="s">
        <v>393</v>
      </c>
      <c r="E225" s="12" t="s">
        <v>1322</v>
      </c>
    </row>
    <row r="226" spans="1:5" ht="47.25">
      <c r="A226" s="23">
        <v>220</v>
      </c>
      <c r="B226" s="24" t="s">
        <v>278</v>
      </c>
      <c r="C226" s="25" t="s">
        <v>394</v>
      </c>
      <c r="D226" s="24" t="s">
        <v>395</v>
      </c>
      <c r="E226" s="12" t="s">
        <v>1322</v>
      </c>
    </row>
    <row r="227" spans="1:5" ht="110.25">
      <c r="A227" s="23">
        <v>221</v>
      </c>
      <c r="B227" s="24" t="s">
        <v>278</v>
      </c>
      <c r="C227" s="25" t="s">
        <v>396</v>
      </c>
      <c r="D227" s="24" t="s">
        <v>397</v>
      </c>
      <c r="E227" s="12" t="s">
        <v>1322</v>
      </c>
    </row>
    <row r="228" spans="1:5" ht="94.5">
      <c r="A228" s="23">
        <v>222</v>
      </c>
      <c r="B228" s="24" t="s">
        <v>278</v>
      </c>
      <c r="C228" s="25" t="s">
        <v>398</v>
      </c>
      <c r="D228" s="24" t="s">
        <v>1234</v>
      </c>
      <c r="E228" s="12" t="s">
        <v>1322</v>
      </c>
    </row>
    <row r="229" spans="1:5" ht="63">
      <c r="A229" s="23">
        <v>223</v>
      </c>
      <c r="B229" s="24" t="s">
        <v>278</v>
      </c>
      <c r="C229" s="25" t="s">
        <v>14</v>
      </c>
      <c r="D229" s="24" t="s">
        <v>399</v>
      </c>
      <c r="E229" s="12" t="s">
        <v>1322</v>
      </c>
    </row>
    <row r="230" spans="1:5" ht="47.25">
      <c r="A230" s="23">
        <v>224</v>
      </c>
      <c r="B230" s="24" t="s">
        <v>278</v>
      </c>
      <c r="C230" s="25" t="s">
        <v>400</v>
      </c>
      <c r="D230" s="24" t="s">
        <v>1235</v>
      </c>
      <c r="E230" s="12" t="s">
        <v>1322</v>
      </c>
    </row>
    <row r="231" spans="1:5" ht="63">
      <c r="A231" s="23">
        <v>225</v>
      </c>
      <c r="B231" s="24" t="s">
        <v>278</v>
      </c>
      <c r="C231" s="25" t="s">
        <v>401</v>
      </c>
      <c r="D231" s="24" t="s">
        <v>1236</v>
      </c>
      <c r="E231" s="12" t="s">
        <v>1322</v>
      </c>
    </row>
    <row r="232" spans="1:5" ht="94.5">
      <c r="A232" s="23">
        <v>226</v>
      </c>
      <c r="B232" s="24" t="s">
        <v>278</v>
      </c>
      <c r="C232" s="25" t="s">
        <v>402</v>
      </c>
      <c r="D232" s="25" t="s">
        <v>403</v>
      </c>
      <c r="E232" s="12" t="s">
        <v>1322</v>
      </c>
    </row>
    <row r="233" spans="1:5" ht="94.5">
      <c r="A233" s="23">
        <v>227</v>
      </c>
      <c r="B233" s="24" t="s">
        <v>278</v>
      </c>
      <c r="C233" s="25" t="s">
        <v>404</v>
      </c>
      <c r="D233" s="25" t="s">
        <v>405</v>
      </c>
      <c r="E233" s="12" t="s">
        <v>1322</v>
      </c>
    </row>
    <row r="234" spans="1:5" ht="31.5">
      <c r="A234" s="23">
        <v>228</v>
      </c>
      <c r="B234" s="24" t="s">
        <v>278</v>
      </c>
      <c r="C234" s="25" t="s">
        <v>406</v>
      </c>
      <c r="D234" s="24" t="s">
        <v>407</v>
      </c>
      <c r="E234" s="12" t="s">
        <v>1322</v>
      </c>
    </row>
    <row r="235" spans="1:5" ht="31.5">
      <c r="A235" s="23">
        <v>229</v>
      </c>
      <c r="B235" s="24" t="s">
        <v>278</v>
      </c>
      <c r="C235" s="25" t="s">
        <v>408</v>
      </c>
      <c r="D235" s="24" t="s">
        <v>409</v>
      </c>
      <c r="E235" s="12" t="s">
        <v>1322</v>
      </c>
    </row>
    <row r="236" spans="1:5" ht="63">
      <c r="A236" s="23">
        <v>230</v>
      </c>
      <c r="B236" s="24" t="s">
        <v>278</v>
      </c>
      <c r="C236" s="25" t="s">
        <v>410</v>
      </c>
      <c r="D236" s="24" t="s">
        <v>1237</v>
      </c>
      <c r="E236" s="12" t="s">
        <v>1322</v>
      </c>
    </row>
    <row r="237" spans="1:5" ht="31.5">
      <c r="A237" s="23">
        <v>231</v>
      </c>
      <c r="B237" s="24" t="s">
        <v>278</v>
      </c>
      <c r="C237" s="25" t="s">
        <v>411</v>
      </c>
      <c r="D237" s="25" t="s">
        <v>412</v>
      </c>
      <c r="E237" s="12" t="s">
        <v>1322</v>
      </c>
    </row>
    <row r="238" spans="1:5" ht="63">
      <c r="A238" s="23">
        <v>232</v>
      </c>
      <c r="B238" s="24" t="s">
        <v>278</v>
      </c>
      <c r="C238" s="25" t="s">
        <v>413</v>
      </c>
      <c r="D238" s="24" t="s">
        <v>1238</v>
      </c>
      <c r="E238" s="12" t="s">
        <v>1321</v>
      </c>
    </row>
    <row r="239" spans="1:5" ht="31.5">
      <c r="A239" s="23">
        <v>233</v>
      </c>
      <c r="B239" s="24" t="s">
        <v>278</v>
      </c>
      <c r="C239" s="25" t="s">
        <v>414</v>
      </c>
      <c r="D239" s="24" t="s">
        <v>415</v>
      </c>
      <c r="E239" s="12" t="s">
        <v>1321</v>
      </c>
    </row>
    <row r="240" spans="1:5" ht="47.25">
      <c r="A240" s="23">
        <v>234</v>
      </c>
      <c r="B240" s="24" t="s">
        <v>278</v>
      </c>
      <c r="C240" s="25" t="s">
        <v>416</v>
      </c>
      <c r="D240" s="24" t="s">
        <v>417</v>
      </c>
      <c r="E240" s="12" t="s">
        <v>1321</v>
      </c>
    </row>
    <row r="241" spans="1:5" ht="94.5">
      <c r="A241" s="23">
        <v>235</v>
      </c>
      <c r="B241" s="24" t="s">
        <v>278</v>
      </c>
      <c r="C241" s="25" t="s">
        <v>418</v>
      </c>
      <c r="D241" s="24" t="s">
        <v>1239</v>
      </c>
      <c r="E241" s="12" t="s">
        <v>1321</v>
      </c>
    </row>
    <row r="242" spans="1:5" ht="47.25">
      <c r="A242" s="23">
        <v>236</v>
      </c>
      <c r="B242" s="24" t="s">
        <v>278</v>
      </c>
      <c r="C242" s="25" t="s">
        <v>419</v>
      </c>
      <c r="D242" s="24" t="s">
        <v>420</v>
      </c>
      <c r="E242" s="12" t="s">
        <v>1321</v>
      </c>
    </row>
    <row r="243" spans="1:5" ht="63">
      <c r="A243" s="23">
        <v>237</v>
      </c>
      <c r="B243" s="24" t="s">
        <v>278</v>
      </c>
      <c r="C243" s="25" t="s">
        <v>421</v>
      </c>
      <c r="D243" s="24" t="s">
        <v>422</v>
      </c>
      <c r="E243" s="12" t="s">
        <v>1321</v>
      </c>
    </row>
    <row r="244" spans="1:5" ht="47.25">
      <c r="A244" s="23">
        <v>238</v>
      </c>
      <c r="B244" s="24" t="s">
        <v>278</v>
      </c>
      <c r="C244" s="25" t="s">
        <v>423</v>
      </c>
      <c r="D244" s="24" t="s">
        <v>424</v>
      </c>
      <c r="E244" s="12" t="s">
        <v>1321</v>
      </c>
    </row>
    <row r="245" spans="1:5" ht="63">
      <c r="A245" s="23">
        <v>239</v>
      </c>
      <c r="B245" s="24" t="s">
        <v>278</v>
      </c>
      <c r="C245" s="25" t="s">
        <v>425</v>
      </c>
      <c r="D245" s="24" t="s">
        <v>426</v>
      </c>
      <c r="E245" s="12" t="s">
        <v>1321</v>
      </c>
    </row>
    <row r="246" spans="1:5" ht="47.25">
      <c r="A246" s="23">
        <v>240</v>
      </c>
      <c r="B246" s="24" t="s">
        <v>278</v>
      </c>
      <c r="C246" s="25" t="s">
        <v>427</v>
      </c>
      <c r="D246" s="24" t="s">
        <v>428</v>
      </c>
      <c r="E246" s="12" t="s">
        <v>1321</v>
      </c>
    </row>
    <row r="247" spans="1:5" ht="63">
      <c r="A247" s="23">
        <v>241</v>
      </c>
      <c r="B247" s="24" t="s">
        <v>278</v>
      </c>
      <c r="C247" s="25" t="s">
        <v>429</v>
      </c>
      <c r="D247" s="24" t="s">
        <v>430</v>
      </c>
      <c r="E247" s="12" t="s">
        <v>1321</v>
      </c>
    </row>
    <row r="248" spans="1:5" ht="78.75">
      <c r="A248" s="23">
        <v>242</v>
      </c>
      <c r="B248" s="24" t="s">
        <v>278</v>
      </c>
      <c r="C248" s="25" t="s">
        <v>431</v>
      </c>
      <c r="D248" s="24" t="s">
        <v>432</v>
      </c>
      <c r="E248" s="12" t="s">
        <v>1321</v>
      </c>
    </row>
    <row r="249" spans="1:5" ht="78.75">
      <c r="A249" s="23">
        <v>243</v>
      </c>
      <c r="B249" s="24" t="s">
        <v>278</v>
      </c>
      <c r="C249" s="25" t="s">
        <v>433</v>
      </c>
      <c r="D249" s="24" t="s">
        <v>434</v>
      </c>
      <c r="E249" s="12" t="s">
        <v>1321</v>
      </c>
    </row>
    <row r="250" spans="1:5" ht="47.25">
      <c r="A250" s="23">
        <v>244</v>
      </c>
      <c r="B250" s="24" t="s">
        <v>278</v>
      </c>
      <c r="C250" s="25" t="s">
        <v>435</v>
      </c>
      <c r="D250" s="24" t="s">
        <v>436</v>
      </c>
      <c r="E250" s="12" t="s">
        <v>1321</v>
      </c>
    </row>
    <row r="251" spans="1:5" ht="47.25">
      <c r="A251" s="23">
        <v>245</v>
      </c>
      <c r="B251" s="24" t="s">
        <v>278</v>
      </c>
      <c r="C251" s="25" t="s">
        <v>437</v>
      </c>
      <c r="D251" s="24" t="s">
        <v>438</v>
      </c>
      <c r="E251" s="12" t="s">
        <v>1321</v>
      </c>
    </row>
    <row r="252" spans="1:5" ht="47.25">
      <c r="A252" s="23">
        <v>246</v>
      </c>
      <c r="B252" s="24" t="s">
        <v>278</v>
      </c>
      <c r="C252" s="25" t="s">
        <v>439</v>
      </c>
      <c r="D252" s="24" t="s">
        <v>440</v>
      </c>
      <c r="E252" s="12" t="s">
        <v>1321</v>
      </c>
    </row>
    <row r="253" spans="1:5" ht="78.75">
      <c r="A253" s="23">
        <v>247</v>
      </c>
      <c r="B253" s="24" t="s">
        <v>278</v>
      </c>
      <c r="C253" s="25" t="s">
        <v>441</v>
      </c>
      <c r="D253" s="25" t="s">
        <v>442</v>
      </c>
      <c r="E253" s="12" t="s">
        <v>1322</v>
      </c>
    </row>
    <row r="254" spans="1:5" ht="47.25">
      <c r="A254" s="23">
        <v>248</v>
      </c>
      <c r="B254" s="24" t="s">
        <v>278</v>
      </c>
      <c r="C254" s="25" t="s">
        <v>443</v>
      </c>
      <c r="D254" s="24" t="s">
        <v>444</v>
      </c>
      <c r="E254" s="12" t="s">
        <v>1322</v>
      </c>
    </row>
    <row r="255" spans="1:5" ht="31.5">
      <c r="A255" s="23">
        <v>249</v>
      </c>
      <c r="B255" s="24" t="s">
        <v>278</v>
      </c>
      <c r="C255" s="25" t="s">
        <v>445</v>
      </c>
      <c r="D255" s="24" t="s">
        <v>446</v>
      </c>
      <c r="E255" s="12" t="s">
        <v>1322</v>
      </c>
    </row>
    <row r="256" spans="1:5" ht="63">
      <c r="A256" s="23">
        <v>250</v>
      </c>
      <c r="B256" s="24" t="s">
        <v>278</v>
      </c>
      <c r="C256" s="25" t="s">
        <v>447</v>
      </c>
      <c r="D256" s="24" t="s">
        <v>448</v>
      </c>
      <c r="E256" s="12" t="s">
        <v>1322</v>
      </c>
    </row>
    <row r="257" spans="1:5" ht="78.75">
      <c r="A257" s="23">
        <v>251</v>
      </c>
      <c r="B257" s="24" t="s">
        <v>278</v>
      </c>
      <c r="C257" s="25" t="s">
        <v>250</v>
      </c>
      <c r="D257" s="24" t="s">
        <v>251</v>
      </c>
      <c r="E257" s="12" t="s">
        <v>1322</v>
      </c>
    </row>
    <row r="258" spans="1:5" ht="94.5">
      <c r="A258" s="23">
        <v>252</v>
      </c>
      <c r="B258" s="24" t="s">
        <v>278</v>
      </c>
      <c r="C258" s="25" t="s">
        <v>252</v>
      </c>
      <c r="D258" s="24" t="s">
        <v>1208</v>
      </c>
      <c r="E258" s="12" t="s">
        <v>1322</v>
      </c>
    </row>
    <row r="259" spans="1:5" ht="63">
      <c r="A259" s="23">
        <v>253</v>
      </c>
      <c r="B259" s="24" t="s">
        <v>278</v>
      </c>
      <c r="C259" s="25" t="s">
        <v>13</v>
      </c>
      <c r="D259" s="24" t="s">
        <v>1209</v>
      </c>
      <c r="E259" s="12" t="s">
        <v>1322</v>
      </c>
    </row>
    <row r="260" spans="1:5" ht="110.25">
      <c r="A260" s="23">
        <v>254</v>
      </c>
      <c r="B260" s="24" t="s">
        <v>278</v>
      </c>
      <c r="C260" s="25" t="s">
        <v>253</v>
      </c>
      <c r="D260" s="24" t="s">
        <v>1210</v>
      </c>
      <c r="E260" s="12" t="s">
        <v>1322</v>
      </c>
    </row>
    <row r="261" spans="1:5" ht="78.75">
      <c r="A261" s="23">
        <v>255</v>
      </c>
      <c r="B261" s="24" t="s">
        <v>278</v>
      </c>
      <c r="C261" s="25" t="s">
        <v>254</v>
      </c>
      <c r="D261" s="24" t="s">
        <v>1211</v>
      </c>
      <c r="E261" s="12" t="s">
        <v>1320</v>
      </c>
    </row>
    <row r="262" spans="1:5" ht="78.75">
      <c r="A262" s="23">
        <v>256</v>
      </c>
      <c r="B262" s="24" t="s">
        <v>278</v>
      </c>
      <c r="C262" s="25" t="s">
        <v>255</v>
      </c>
      <c r="D262" s="24" t="s">
        <v>256</v>
      </c>
      <c r="E262" s="12" t="s">
        <v>1320</v>
      </c>
    </row>
    <row r="263" spans="1:5" ht="63">
      <c r="A263" s="23">
        <v>257</v>
      </c>
      <c r="B263" s="24" t="s">
        <v>278</v>
      </c>
      <c r="C263" s="25" t="s">
        <v>449</v>
      </c>
      <c r="D263" s="24" t="s">
        <v>450</v>
      </c>
      <c r="E263" s="12" t="s">
        <v>1320</v>
      </c>
    </row>
    <row r="264" spans="1:5" ht="63">
      <c r="A264" s="23">
        <v>258</v>
      </c>
      <c r="B264" s="24" t="s">
        <v>278</v>
      </c>
      <c r="C264" s="25" t="s">
        <v>451</v>
      </c>
      <c r="D264" s="24" t="s">
        <v>452</v>
      </c>
      <c r="E264" s="12" t="s">
        <v>1320</v>
      </c>
    </row>
    <row r="265" spans="1:5" ht="94.5">
      <c r="A265" s="23">
        <v>259</v>
      </c>
      <c r="B265" s="24" t="s">
        <v>278</v>
      </c>
      <c r="C265" s="25" t="s">
        <v>453</v>
      </c>
      <c r="D265" s="24" t="s">
        <v>454</v>
      </c>
      <c r="E265" s="12" t="s">
        <v>1320</v>
      </c>
    </row>
    <row r="266" spans="1:5" ht="47.25">
      <c r="A266" s="23">
        <v>260</v>
      </c>
      <c r="B266" s="24" t="s">
        <v>278</v>
      </c>
      <c r="C266" s="25" t="s">
        <v>15</v>
      </c>
      <c r="D266" s="24" t="s">
        <v>455</v>
      </c>
      <c r="E266" s="12" t="s">
        <v>1320</v>
      </c>
    </row>
    <row r="267" spans="1:5" ht="94.5">
      <c r="A267" s="23">
        <v>261</v>
      </c>
      <c r="B267" s="24" t="s">
        <v>278</v>
      </c>
      <c r="C267" s="25" t="s">
        <v>456</v>
      </c>
      <c r="D267" s="24" t="s">
        <v>1240</v>
      </c>
      <c r="E267" s="12" t="s">
        <v>1320</v>
      </c>
    </row>
    <row r="268" spans="1:5" ht="63">
      <c r="A268" s="23">
        <v>262</v>
      </c>
      <c r="B268" s="24" t="s">
        <v>278</v>
      </c>
      <c r="C268" s="25" t="s">
        <v>457</v>
      </c>
      <c r="D268" s="24" t="s">
        <v>458</v>
      </c>
      <c r="E268" s="12" t="s">
        <v>1320</v>
      </c>
    </row>
    <row r="269" spans="1:5" ht="126">
      <c r="A269" s="23">
        <v>263</v>
      </c>
      <c r="B269" s="24" t="s">
        <v>278</v>
      </c>
      <c r="C269" s="25" t="s">
        <v>459</v>
      </c>
      <c r="D269" s="25" t="s">
        <v>460</v>
      </c>
      <c r="E269" s="12" t="s">
        <v>1320</v>
      </c>
    </row>
    <row r="270" spans="1:5" ht="47.25">
      <c r="A270" s="23">
        <v>264</v>
      </c>
      <c r="B270" s="24" t="s">
        <v>278</v>
      </c>
      <c r="C270" s="25" t="s">
        <v>461</v>
      </c>
      <c r="D270" s="24" t="s">
        <v>462</v>
      </c>
      <c r="E270" s="12" t="s">
        <v>1320</v>
      </c>
    </row>
    <row r="271" spans="1:5" ht="78.75">
      <c r="A271" s="23">
        <v>265</v>
      </c>
      <c r="B271" s="24" t="s">
        <v>278</v>
      </c>
      <c r="C271" s="25" t="s">
        <v>463</v>
      </c>
      <c r="D271" s="24" t="s">
        <v>1241</v>
      </c>
      <c r="E271" s="12" t="s">
        <v>1320</v>
      </c>
    </row>
    <row r="272" spans="1:5" ht="110.25">
      <c r="A272" s="23">
        <v>266</v>
      </c>
      <c r="B272" s="24" t="s">
        <v>278</v>
      </c>
      <c r="C272" s="25" t="s">
        <v>213</v>
      </c>
      <c r="D272" s="24" t="s">
        <v>214</v>
      </c>
      <c r="E272" s="12" t="s">
        <v>1320</v>
      </c>
    </row>
    <row r="273" spans="1:5" ht="78.75">
      <c r="A273" s="23">
        <v>267</v>
      </c>
      <c r="B273" s="24" t="s">
        <v>278</v>
      </c>
      <c r="C273" s="25" t="s">
        <v>215</v>
      </c>
      <c r="D273" s="24" t="s">
        <v>216</v>
      </c>
      <c r="E273" s="12" t="s">
        <v>1320</v>
      </c>
    </row>
    <row r="274" spans="1:5" ht="63">
      <c r="A274" s="23">
        <v>268</v>
      </c>
      <c r="B274" s="24" t="s">
        <v>278</v>
      </c>
      <c r="C274" s="25" t="s">
        <v>217</v>
      </c>
      <c r="D274" s="24" t="s">
        <v>218</v>
      </c>
      <c r="E274" s="12" t="s">
        <v>1320</v>
      </c>
    </row>
    <row r="275" spans="1:5" ht="47.25">
      <c r="A275" s="23">
        <v>269</v>
      </c>
      <c r="B275" s="24" t="s">
        <v>278</v>
      </c>
      <c r="C275" s="25" t="s">
        <v>219</v>
      </c>
      <c r="D275" s="24" t="s">
        <v>220</v>
      </c>
      <c r="E275" s="12" t="s">
        <v>1320</v>
      </c>
    </row>
    <row r="276" spans="1:5" ht="78.75">
      <c r="A276" s="23">
        <v>270</v>
      </c>
      <c r="B276" s="24" t="s">
        <v>278</v>
      </c>
      <c r="C276" s="25" t="s">
        <v>128</v>
      </c>
      <c r="D276" s="24" t="s">
        <v>221</v>
      </c>
      <c r="E276" s="12" t="s">
        <v>1322</v>
      </c>
    </row>
    <row r="277" spans="1:5" ht="173.25">
      <c r="A277" s="5"/>
      <c r="B277" s="6" t="s">
        <v>464</v>
      </c>
      <c r="C277" s="6" t="s">
        <v>1316</v>
      </c>
      <c r="D277" s="6" t="s">
        <v>1171</v>
      </c>
      <c r="E277" s="164" t="s">
        <v>1324</v>
      </c>
    </row>
    <row r="278" spans="1:5" ht="78.75">
      <c r="A278" s="26">
        <v>271</v>
      </c>
      <c r="B278" s="27" t="s">
        <v>464</v>
      </c>
      <c r="C278" s="28" t="s">
        <v>465</v>
      </c>
      <c r="D278" s="27" t="s">
        <v>466</v>
      </c>
      <c r="E278" s="12" t="s">
        <v>1322</v>
      </c>
    </row>
    <row r="279" spans="1:5" ht="94.5">
      <c r="A279" s="26">
        <v>272</v>
      </c>
      <c r="B279" s="27" t="s">
        <v>464</v>
      </c>
      <c r="C279" s="28" t="s">
        <v>467</v>
      </c>
      <c r="D279" s="27" t="s">
        <v>468</v>
      </c>
      <c r="E279" s="12" t="s">
        <v>1322</v>
      </c>
    </row>
    <row r="280" spans="1:5" ht="78.75">
      <c r="A280" s="26">
        <v>273</v>
      </c>
      <c r="B280" s="27" t="s">
        <v>464</v>
      </c>
      <c r="C280" s="28" t="s">
        <v>469</v>
      </c>
      <c r="D280" s="27" t="s">
        <v>470</v>
      </c>
      <c r="E280" s="12" t="s">
        <v>1321</v>
      </c>
    </row>
    <row r="281" spans="1:5" ht="31.5">
      <c r="A281" s="26">
        <v>274</v>
      </c>
      <c r="B281" s="27" t="s">
        <v>464</v>
      </c>
      <c r="C281" s="28" t="s">
        <v>471</v>
      </c>
      <c r="D281" s="27" t="s">
        <v>472</v>
      </c>
      <c r="E281" s="12" t="s">
        <v>1321</v>
      </c>
    </row>
    <row r="282" spans="1:5" ht="63">
      <c r="A282" s="26">
        <v>275</v>
      </c>
      <c r="B282" s="27" t="s">
        <v>464</v>
      </c>
      <c r="C282" s="28" t="s">
        <v>473</v>
      </c>
      <c r="D282" s="27" t="s">
        <v>1242</v>
      </c>
      <c r="E282" s="12" t="s">
        <v>1321</v>
      </c>
    </row>
    <row r="283" spans="1:5" ht="63">
      <c r="A283" s="26">
        <v>276</v>
      </c>
      <c r="B283" s="27" t="s">
        <v>464</v>
      </c>
      <c r="C283" s="28" t="s">
        <v>474</v>
      </c>
      <c r="D283" s="27" t="s">
        <v>475</v>
      </c>
      <c r="E283" s="12" t="s">
        <v>1321</v>
      </c>
    </row>
    <row r="284" spans="1:5" ht="63">
      <c r="A284" s="26">
        <v>277</v>
      </c>
      <c r="B284" s="27" t="s">
        <v>464</v>
      </c>
      <c r="C284" s="28" t="s">
        <v>476</v>
      </c>
      <c r="D284" s="27" t="s">
        <v>477</v>
      </c>
      <c r="E284" s="12" t="s">
        <v>1321</v>
      </c>
    </row>
    <row r="285" spans="1:5" ht="78.75">
      <c r="A285" s="26">
        <v>278</v>
      </c>
      <c r="B285" s="27" t="s">
        <v>464</v>
      </c>
      <c r="C285" s="28" t="s">
        <v>478</v>
      </c>
      <c r="D285" s="27" t="s">
        <v>479</v>
      </c>
      <c r="E285" s="12" t="s">
        <v>1321</v>
      </c>
    </row>
    <row r="286" spans="1:5" ht="63">
      <c r="A286" s="26">
        <v>279</v>
      </c>
      <c r="B286" s="27" t="s">
        <v>464</v>
      </c>
      <c r="C286" s="28" t="s">
        <v>480</v>
      </c>
      <c r="D286" s="27" t="s">
        <v>1243</v>
      </c>
      <c r="E286" s="12" t="s">
        <v>1321</v>
      </c>
    </row>
    <row r="287" spans="1:5" ht="47.25">
      <c r="A287" s="26">
        <v>280</v>
      </c>
      <c r="B287" s="27" t="s">
        <v>464</v>
      </c>
      <c r="C287" s="28" t="s">
        <v>481</v>
      </c>
      <c r="D287" s="27" t="s">
        <v>1244</v>
      </c>
      <c r="E287" s="12" t="s">
        <v>1321</v>
      </c>
    </row>
    <row r="288" spans="1:5" ht="63">
      <c r="A288" s="26">
        <v>281</v>
      </c>
      <c r="B288" s="27" t="s">
        <v>464</v>
      </c>
      <c r="C288" s="28" t="s">
        <v>482</v>
      </c>
      <c r="D288" s="27" t="s">
        <v>1245</v>
      </c>
      <c r="E288" s="12" t="s">
        <v>1321</v>
      </c>
    </row>
    <row r="289" spans="1:5" ht="94.5">
      <c r="A289" s="26">
        <v>282</v>
      </c>
      <c r="B289" s="27" t="s">
        <v>464</v>
      </c>
      <c r="C289" s="28" t="s">
        <v>483</v>
      </c>
      <c r="D289" s="27" t="s">
        <v>1246</v>
      </c>
      <c r="E289" s="12" t="s">
        <v>1321</v>
      </c>
    </row>
    <row r="290" spans="1:5" ht="78.75">
      <c r="A290" s="26">
        <v>283</v>
      </c>
      <c r="B290" s="27" t="s">
        <v>464</v>
      </c>
      <c r="C290" s="28" t="s">
        <v>484</v>
      </c>
      <c r="D290" s="27" t="s">
        <v>485</v>
      </c>
      <c r="E290" s="12" t="s">
        <v>1321</v>
      </c>
    </row>
    <row r="291" spans="1:5" ht="78.75">
      <c r="A291" s="26">
        <v>284</v>
      </c>
      <c r="B291" s="27" t="s">
        <v>464</v>
      </c>
      <c r="C291" s="28" t="s">
        <v>279</v>
      </c>
      <c r="D291" s="27" t="s">
        <v>280</v>
      </c>
      <c r="E291" s="12" t="s">
        <v>1321</v>
      </c>
    </row>
    <row r="292" spans="1:5" ht="31.5">
      <c r="A292" s="26">
        <v>285</v>
      </c>
      <c r="B292" s="27" t="s">
        <v>464</v>
      </c>
      <c r="C292" s="28" t="s">
        <v>281</v>
      </c>
      <c r="D292" s="27" t="s">
        <v>282</v>
      </c>
      <c r="E292" s="12" t="s">
        <v>1321</v>
      </c>
    </row>
    <row r="293" spans="1:5" ht="31.5">
      <c r="A293" s="26">
        <v>286</v>
      </c>
      <c r="B293" s="27" t="s">
        <v>464</v>
      </c>
      <c r="C293" s="28" t="s">
        <v>283</v>
      </c>
      <c r="D293" s="27" t="s">
        <v>284</v>
      </c>
      <c r="E293" s="12" t="s">
        <v>1321</v>
      </c>
    </row>
    <row r="294" spans="1:5" ht="63">
      <c r="A294" s="26">
        <v>287</v>
      </c>
      <c r="B294" s="27" t="s">
        <v>464</v>
      </c>
      <c r="C294" s="28" t="s">
        <v>285</v>
      </c>
      <c r="D294" s="27" t="s">
        <v>286</v>
      </c>
      <c r="E294" s="12" t="s">
        <v>1321</v>
      </c>
    </row>
    <row r="295" spans="1:5" ht="110.25">
      <c r="A295" s="26">
        <v>288</v>
      </c>
      <c r="B295" s="27" t="s">
        <v>464</v>
      </c>
      <c r="C295" s="28" t="s">
        <v>287</v>
      </c>
      <c r="D295" s="27" t="s">
        <v>1213</v>
      </c>
      <c r="E295" s="12" t="s">
        <v>1322</v>
      </c>
    </row>
    <row r="296" spans="1:5" ht="47.25">
      <c r="A296" s="26">
        <v>289</v>
      </c>
      <c r="B296" s="27" t="s">
        <v>464</v>
      </c>
      <c r="C296" s="28" t="s">
        <v>288</v>
      </c>
      <c r="D296" s="27" t="s">
        <v>289</v>
      </c>
      <c r="E296" s="12" t="s">
        <v>1322</v>
      </c>
    </row>
    <row r="297" spans="1:5" ht="78.75">
      <c r="A297" s="26">
        <v>290</v>
      </c>
      <c r="B297" s="27" t="s">
        <v>464</v>
      </c>
      <c r="C297" s="28" t="s">
        <v>290</v>
      </c>
      <c r="D297" s="27" t="s">
        <v>291</v>
      </c>
      <c r="E297" s="12" t="s">
        <v>1322</v>
      </c>
    </row>
    <row r="298" spans="1:5" ht="31.5">
      <c r="A298" s="26">
        <v>291</v>
      </c>
      <c r="B298" s="27" t="s">
        <v>464</v>
      </c>
      <c r="C298" s="28" t="s">
        <v>292</v>
      </c>
      <c r="D298" s="27" t="s">
        <v>293</v>
      </c>
      <c r="E298" s="12" t="s">
        <v>1322</v>
      </c>
    </row>
    <row r="299" spans="1:5" ht="94.5">
      <c r="A299" s="26">
        <v>292</v>
      </c>
      <c r="B299" s="27" t="s">
        <v>464</v>
      </c>
      <c r="C299" s="28" t="s">
        <v>296</v>
      </c>
      <c r="D299" s="27" t="s">
        <v>297</v>
      </c>
      <c r="E299" s="12" t="s">
        <v>1322</v>
      </c>
    </row>
    <row r="300" spans="1:5" ht="63">
      <c r="A300" s="26">
        <v>293</v>
      </c>
      <c r="B300" s="27" t="s">
        <v>464</v>
      </c>
      <c r="C300" s="28" t="s">
        <v>298</v>
      </c>
      <c r="D300" s="27" t="s">
        <v>299</v>
      </c>
      <c r="E300" s="12" t="s">
        <v>1322</v>
      </c>
    </row>
    <row r="301" spans="1:5" ht="47.25">
      <c r="A301" s="26">
        <v>294</v>
      </c>
      <c r="B301" s="27" t="s">
        <v>464</v>
      </c>
      <c r="C301" s="28" t="s">
        <v>300</v>
      </c>
      <c r="D301" s="27" t="s">
        <v>301</v>
      </c>
      <c r="E301" s="12" t="s">
        <v>1322</v>
      </c>
    </row>
    <row r="302" spans="1:5" ht="47.25">
      <c r="A302" s="26">
        <v>295</v>
      </c>
      <c r="B302" s="27" t="s">
        <v>464</v>
      </c>
      <c r="C302" s="28" t="s">
        <v>302</v>
      </c>
      <c r="D302" s="27" t="s">
        <v>303</v>
      </c>
      <c r="E302" s="12" t="s">
        <v>1322</v>
      </c>
    </row>
    <row r="303" spans="1:5" ht="78.75">
      <c r="A303" s="26">
        <v>296</v>
      </c>
      <c r="B303" s="27" t="s">
        <v>464</v>
      </c>
      <c r="C303" s="28" t="s">
        <v>304</v>
      </c>
      <c r="D303" s="27" t="s">
        <v>1214</v>
      </c>
      <c r="E303" s="12" t="s">
        <v>1322</v>
      </c>
    </row>
    <row r="304" spans="1:5" ht="63">
      <c r="A304" s="26">
        <v>297</v>
      </c>
      <c r="B304" s="27" t="s">
        <v>464</v>
      </c>
      <c r="C304" s="28" t="s">
        <v>305</v>
      </c>
      <c r="D304" s="27" t="s">
        <v>306</v>
      </c>
      <c r="E304" s="12" t="s">
        <v>1322</v>
      </c>
    </row>
    <row r="305" spans="1:5" ht="63">
      <c r="A305" s="26">
        <v>298</v>
      </c>
      <c r="B305" s="27" t="s">
        <v>464</v>
      </c>
      <c r="C305" s="28" t="s">
        <v>307</v>
      </c>
      <c r="D305" s="27" t="s">
        <v>308</v>
      </c>
      <c r="E305" s="12" t="s">
        <v>1322</v>
      </c>
    </row>
    <row r="306" spans="1:5" ht="78.75">
      <c r="A306" s="26">
        <v>299</v>
      </c>
      <c r="B306" s="27" t="s">
        <v>464</v>
      </c>
      <c r="C306" s="28" t="s">
        <v>309</v>
      </c>
      <c r="D306" s="27" t="s">
        <v>1215</v>
      </c>
      <c r="E306" s="12" t="s">
        <v>1322</v>
      </c>
    </row>
    <row r="307" spans="1:5" ht="78.75">
      <c r="A307" s="26">
        <v>300</v>
      </c>
      <c r="B307" s="27" t="s">
        <v>464</v>
      </c>
      <c r="C307" s="28" t="s">
        <v>310</v>
      </c>
      <c r="D307" s="27" t="s">
        <v>311</v>
      </c>
      <c r="E307" s="12" t="s">
        <v>1322</v>
      </c>
    </row>
    <row r="308" spans="1:5" ht="47.25">
      <c r="A308" s="26">
        <v>301</v>
      </c>
      <c r="B308" s="27" t="s">
        <v>464</v>
      </c>
      <c r="C308" s="28" t="s">
        <v>312</v>
      </c>
      <c r="D308" s="27" t="s">
        <v>313</v>
      </c>
      <c r="E308" s="12" t="s">
        <v>1320</v>
      </c>
    </row>
    <row r="309" spans="1:5" ht="63">
      <c r="A309" s="26">
        <v>302</v>
      </c>
      <c r="B309" s="27" t="s">
        <v>464</v>
      </c>
      <c r="C309" s="28" t="s">
        <v>314</v>
      </c>
      <c r="D309" s="27" t="s">
        <v>1216</v>
      </c>
      <c r="E309" s="12" t="s">
        <v>1320</v>
      </c>
    </row>
    <row r="310" spans="1:5" ht="47.25">
      <c r="A310" s="26">
        <v>303</v>
      </c>
      <c r="B310" s="27" t="s">
        <v>464</v>
      </c>
      <c r="C310" s="28" t="s">
        <v>315</v>
      </c>
      <c r="D310" s="27" t="s">
        <v>1217</v>
      </c>
      <c r="E310" s="12" t="s">
        <v>1320</v>
      </c>
    </row>
    <row r="311" spans="1:5" ht="94.5">
      <c r="A311" s="26">
        <v>304</v>
      </c>
      <c r="B311" s="27" t="s">
        <v>464</v>
      </c>
      <c r="C311" s="28" t="s">
        <v>316</v>
      </c>
      <c r="D311" s="27" t="s">
        <v>1218</v>
      </c>
      <c r="E311" s="12" t="s">
        <v>1320</v>
      </c>
    </row>
    <row r="312" spans="1:5" ht="63">
      <c r="A312" s="26">
        <v>305</v>
      </c>
      <c r="B312" s="27" t="s">
        <v>464</v>
      </c>
      <c r="C312" s="28" t="s">
        <v>317</v>
      </c>
      <c r="D312" s="27" t="s">
        <v>318</v>
      </c>
      <c r="E312" s="12" t="s">
        <v>1320</v>
      </c>
    </row>
    <row r="313" spans="1:5" ht="78.75">
      <c r="A313" s="26">
        <v>306</v>
      </c>
      <c r="B313" s="27" t="s">
        <v>464</v>
      </c>
      <c r="C313" s="28" t="s">
        <v>319</v>
      </c>
      <c r="D313" s="28" t="s">
        <v>320</v>
      </c>
      <c r="E313" s="12" t="s">
        <v>1320</v>
      </c>
    </row>
    <row r="314" spans="1:5" ht="63">
      <c r="A314" s="26">
        <v>307</v>
      </c>
      <c r="B314" s="27" t="s">
        <v>464</v>
      </c>
      <c r="C314" s="28" t="s">
        <v>321</v>
      </c>
      <c r="D314" s="27" t="s">
        <v>322</v>
      </c>
      <c r="E314" s="12" t="s">
        <v>1320</v>
      </c>
    </row>
    <row r="315" spans="1:5" ht="47.25">
      <c r="A315" s="26">
        <v>308</v>
      </c>
      <c r="B315" s="27" t="s">
        <v>464</v>
      </c>
      <c r="C315" s="28" t="s">
        <v>323</v>
      </c>
      <c r="D315" s="27" t="s">
        <v>1219</v>
      </c>
      <c r="E315" s="12" t="s">
        <v>1320</v>
      </c>
    </row>
    <row r="316" spans="1:5" ht="78.75">
      <c r="A316" s="26">
        <v>309</v>
      </c>
      <c r="B316" s="27" t="s">
        <v>464</v>
      </c>
      <c r="C316" s="28" t="s">
        <v>324</v>
      </c>
      <c r="D316" s="27" t="s">
        <v>1220</v>
      </c>
      <c r="E316" s="12" t="s">
        <v>1320</v>
      </c>
    </row>
    <row r="317" spans="1:5" ht="63">
      <c r="A317" s="26">
        <v>310</v>
      </c>
      <c r="B317" s="27" t="s">
        <v>464</v>
      </c>
      <c r="C317" s="28" t="s">
        <v>325</v>
      </c>
      <c r="D317" s="27" t="s">
        <v>326</v>
      </c>
      <c r="E317" s="12" t="s">
        <v>1320</v>
      </c>
    </row>
    <row r="318" spans="1:5" ht="47.25">
      <c r="A318" s="26">
        <v>311</v>
      </c>
      <c r="B318" s="27" t="s">
        <v>464</v>
      </c>
      <c r="C318" s="28" t="s">
        <v>327</v>
      </c>
      <c r="D318" s="27" t="s">
        <v>328</v>
      </c>
      <c r="E318" s="12" t="s">
        <v>1320</v>
      </c>
    </row>
    <row r="319" spans="1:5" ht="63">
      <c r="A319" s="26">
        <v>312</v>
      </c>
      <c r="B319" s="27" t="s">
        <v>464</v>
      </c>
      <c r="C319" s="28" t="s">
        <v>329</v>
      </c>
      <c r="D319" s="27" t="s">
        <v>330</v>
      </c>
      <c r="E319" s="12" t="s">
        <v>1320</v>
      </c>
    </row>
    <row r="320" spans="1:5" ht="63">
      <c r="A320" s="26">
        <v>313</v>
      </c>
      <c r="B320" s="27" t="s">
        <v>464</v>
      </c>
      <c r="C320" s="28" t="s">
        <v>342</v>
      </c>
      <c r="D320" s="27" t="s">
        <v>1222</v>
      </c>
      <c r="E320" s="12" t="s">
        <v>1320</v>
      </c>
    </row>
    <row r="321" spans="1:5" ht="110.25">
      <c r="A321" s="26">
        <v>314</v>
      </c>
      <c r="B321" s="27" t="s">
        <v>464</v>
      </c>
      <c r="C321" s="28" t="s">
        <v>343</v>
      </c>
      <c r="D321" s="27" t="s">
        <v>1223</v>
      </c>
      <c r="E321" s="12" t="s">
        <v>1320</v>
      </c>
    </row>
    <row r="322" spans="1:5" ht="63">
      <c r="A322" s="26">
        <v>315</v>
      </c>
      <c r="B322" s="27" t="s">
        <v>464</v>
      </c>
      <c r="C322" s="28" t="s">
        <v>344</v>
      </c>
      <c r="D322" s="27" t="s">
        <v>345</v>
      </c>
      <c r="E322" s="12" t="s">
        <v>1320</v>
      </c>
    </row>
    <row r="323" spans="1:5" ht="63">
      <c r="A323" s="26">
        <v>316</v>
      </c>
      <c r="B323" s="27" t="s">
        <v>464</v>
      </c>
      <c r="C323" s="28" t="s">
        <v>346</v>
      </c>
      <c r="D323" s="27" t="s">
        <v>347</v>
      </c>
      <c r="E323" s="12" t="s">
        <v>1320</v>
      </c>
    </row>
    <row r="324" spans="1:5" ht="141.75">
      <c r="A324" s="26">
        <v>317</v>
      </c>
      <c r="B324" s="27" t="s">
        <v>464</v>
      </c>
      <c r="C324" s="28" t="s">
        <v>348</v>
      </c>
      <c r="D324" s="27" t="s">
        <v>1224</v>
      </c>
      <c r="E324" s="12" t="s">
        <v>1320</v>
      </c>
    </row>
    <row r="325" spans="1:5" ht="63">
      <c r="A325" s="26">
        <v>318</v>
      </c>
      <c r="B325" s="27" t="s">
        <v>464</v>
      </c>
      <c r="C325" s="28" t="s">
        <v>349</v>
      </c>
      <c r="D325" s="27" t="s">
        <v>350</v>
      </c>
      <c r="E325" s="12" t="s">
        <v>1320</v>
      </c>
    </row>
    <row r="326" spans="1:5" ht="63">
      <c r="A326" s="26">
        <v>319</v>
      </c>
      <c r="B326" s="27" t="s">
        <v>464</v>
      </c>
      <c r="C326" s="28" t="s">
        <v>486</v>
      </c>
      <c r="D326" s="27" t="s">
        <v>487</v>
      </c>
      <c r="E326" s="12" t="s">
        <v>1320</v>
      </c>
    </row>
    <row r="327" spans="1:5" ht="63">
      <c r="A327" s="26">
        <v>320</v>
      </c>
      <c r="B327" s="27" t="s">
        <v>464</v>
      </c>
      <c r="C327" s="28" t="s">
        <v>488</v>
      </c>
      <c r="D327" s="27" t="s">
        <v>1247</v>
      </c>
      <c r="E327" s="12" t="s">
        <v>1320</v>
      </c>
    </row>
    <row r="328" spans="1:5" ht="78.75">
      <c r="A328" s="26">
        <v>321</v>
      </c>
      <c r="B328" s="27" t="s">
        <v>464</v>
      </c>
      <c r="C328" s="28" t="s">
        <v>489</v>
      </c>
      <c r="D328" s="27" t="s">
        <v>490</v>
      </c>
      <c r="E328" s="12" t="s">
        <v>1320</v>
      </c>
    </row>
    <row r="329" spans="1:5" ht="47.25">
      <c r="A329" s="26">
        <v>322</v>
      </c>
      <c r="B329" s="27" t="s">
        <v>464</v>
      </c>
      <c r="C329" s="28" t="s">
        <v>491</v>
      </c>
      <c r="D329" s="27" t="s">
        <v>492</v>
      </c>
      <c r="E329" s="12" t="s">
        <v>1320</v>
      </c>
    </row>
    <row r="330" spans="1:5" ht="63">
      <c r="A330" s="26">
        <v>323</v>
      </c>
      <c r="B330" s="27" t="s">
        <v>464</v>
      </c>
      <c r="C330" s="28" t="s">
        <v>351</v>
      </c>
      <c r="D330" s="27" t="s">
        <v>352</v>
      </c>
      <c r="E330" s="12" t="s">
        <v>1320</v>
      </c>
    </row>
    <row r="331" spans="1:5" ht="78.75">
      <c r="A331" s="26">
        <v>324</v>
      </c>
      <c r="B331" s="27" t="s">
        <v>464</v>
      </c>
      <c r="C331" s="28" t="s">
        <v>353</v>
      </c>
      <c r="D331" s="27" t="s">
        <v>354</v>
      </c>
      <c r="E331" s="12" t="s">
        <v>1320</v>
      </c>
    </row>
    <row r="332" spans="1:5" ht="63">
      <c r="A332" s="26">
        <v>325</v>
      </c>
      <c r="B332" s="27" t="s">
        <v>464</v>
      </c>
      <c r="C332" s="28" t="s">
        <v>355</v>
      </c>
      <c r="D332" s="27" t="s">
        <v>1225</v>
      </c>
      <c r="E332" s="12" t="s">
        <v>1320</v>
      </c>
    </row>
    <row r="333" spans="1:5" ht="63">
      <c r="A333" s="26">
        <v>326</v>
      </c>
      <c r="B333" s="27" t="s">
        <v>464</v>
      </c>
      <c r="C333" s="28" t="s">
        <v>356</v>
      </c>
      <c r="D333" s="27" t="s">
        <v>357</v>
      </c>
      <c r="E333" s="12" t="s">
        <v>1320</v>
      </c>
    </row>
    <row r="334" spans="1:5" ht="110.25">
      <c r="A334" s="26">
        <v>327</v>
      </c>
      <c r="B334" s="27" t="s">
        <v>464</v>
      </c>
      <c r="C334" s="28" t="s">
        <v>358</v>
      </c>
      <c r="D334" s="28" t="s">
        <v>359</v>
      </c>
      <c r="E334" s="12" t="s">
        <v>1320</v>
      </c>
    </row>
    <row r="335" spans="1:5" ht="47.25">
      <c r="A335" s="26">
        <v>328</v>
      </c>
      <c r="B335" s="27" t="s">
        <v>464</v>
      </c>
      <c r="C335" s="28" t="s">
        <v>360</v>
      </c>
      <c r="D335" s="27" t="s">
        <v>1226</v>
      </c>
      <c r="E335" s="12" t="s">
        <v>1322</v>
      </c>
    </row>
    <row r="336" spans="1:5" ht="78.75">
      <c r="A336" s="26">
        <v>329</v>
      </c>
      <c r="B336" s="27" t="s">
        <v>464</v>
      </c>
      <c r="C336" s="28" t="s">
        <v>361</v>
      </c>
      <c r="D336" s="27" t="s">
        <v>362</v>
      </c>
      <c r="E336" s="12" t="s">
        <v>1322</v>
      </c>
    </row>
    <row r="337" spans="1:5" ht="63">
      <c r="A337" s="26">
        <v>330</v>
      </c>
      <c r="B337" s="27" t="s">
        <v>464</v>
      </c>
      <c r="C337" s="28" t="s">
        <v>363</v>
      </c>
      <c r="D337" s="27" t="s">
        <v>1227</v>
      </c>
      <c r="E337" s="12" t="s">
        <v>1322</v>
      </c>
    </row>
    <row r="338" spans="1:5" ht="63">
      <c r="A338" s="26">
        <v>331</v>
      </c>
      <c r="B338" s="27" t="s">
        <v>464</v>
      </c>
      <c r="C338" s="28" t="s">
        <v>364</v>
      </c>
      <c r="D338" s="27" t="s">
        <v>365</v>
      </c>
      <c r="E338" s="12" t="s">
        <v>1322</v>
      </c>
    </row>
    <row r="339" spans="1:5" ht="78.75">
      <c r="A339" s="26">
        <v>332</v>
      </c>
      <c r="B339" s="27" t="s">
        <v>464</v>
      </c>
      <c r="C339" s="28" t="s">
        <v>366</v>
      </c>
      <c r="D339" s="27" t="s">
        <v>1228</v>
      </c>
      <c r="E339" s="12" t="s">
        <v>1322</v>
      </c>
    </row>
    <row r="340" spans="1:5" ht="94.5">
      <c r="A340" s="26">
        <v>333</v>
      </c>
      <c r="B340" s="27" t="s">
        <v>464</v>
      </c>
      <c r="C340" s="28" t="s">
        <v>367</v>
      </c>
      <c r="D340" s="27" t="s">
        <v>1229</v>
      </c>
      <c r="E340" s="12" t="s">
        <v>1322</v>
      </c>
    </row>
    <row r="341" spans="1:5" ht="78.75">
      <c r="A341" s="26">
        <v>334</v>
      </c>
      <c r="B341" s="27" t="s">
        <v>464</v>
      </c>
      <c r="C341" s="28" t="s">
        <v>368</v>
      </c>
      <c r="D341" s="27" t="s">
        <v>369</v>
      </c>
      <c r="E341" s="12" t="s">
        <v>1322</v>
      </c>
    </row>
    <row r="342" spans="1:5" ht="63">
      <c r="A342" s="26">
        <v>335</v>
      </c>
      <c r="B342" s="27" t="s">
        <v>464</v>
      </c>
      <c r="C342" s="28" t="s">
        <v>370</v>
      </c>
      <c r="D342" s="27" t="s">
        <v>1230</v>
      </c>
      <c r="E342" s="12" t="s">
        <v>1322</v>
      </c>
    </row>
    <row r="343" spans="1:5" ht="47.25">
      <c r="A343" s="26">
        <v>336</v>
      </c>
      <c r="B343" s="27" t="s">
        <v>464</v>
      </c>
      <c r="C343" s="28" t="s">
        <v>371</v>
      </c>
      <c r="D343" s="28" t="s">
        <v>372</v>
      </c>
      <c r="E343" s="12" t="s">
        <v>1322</v>
      </c>
    </row>
    <row r="344" spans="1:5" ht="63">
      <c r="A344" s="26">
        <v>337</v>
      </c>
      <c r="B344" s="27" t="s">
        <v>464</v>
      </c>
      <c r="C344" s="28" t="s">
        <v>373</v>
      </c>
      <c r="D344" s="28" t="s">
        <v>374</v>
      </c>
      <c r="E344" s="12" t="s">
        <v>1322</v>
      </c>
    </row>
    <row r="345" spans="1:5" ht="47.25">
      <c r="A345" s="26">
        <v>338</v>
      </c>
      <c r="B345" s="27" t="s">
        <v>464</v>
      </c>
      <c r="C345" s="28" t="s">
        <v>375</v>
      </c>
      <c r="D345" s="27" t="s">
        <v>376</v>
      </c>
      <c r="E345" s="12" t="s">
        <v>1322</v>
      </c>
    </row>
    <row r="346" spans="1:5" ht="78.75">
      <c r="A346" s="26">
        <v>339</v>
      </c>
      <c r="B346" s="27" t="s">
        <v>464</v>
      </c>
      <c r="C346" s="28" t="s">
        <v>377</v>
      </c>
      <c r="D346" s="27" t="s">
        <v>378</v>
      </c>
      <c r="E346" s="12" t="s">
        <v>1322</v>
      </c>
    </row>
    <row r="347" spans="1:5" ht="110.25">
      <c r="A347" s="26">
        <v>340</v>
      </c>
      <c r="B347" s="27" t="s">
        <v>464</v>
      </c>
      <c r="C347" s="28" t="s">
        <v>379</v>
      </c>
      <c r="D347" s="27" t="s">
        <v>1231</v>
      </c>
      <c r="E347" s="12" t="s">
        <v>1322</v>
      </c>
    </row>
    <row r="348" spans="1:5" ht="78.75">
      <c r="A348" s="26">
        <v>341</v>
      </c>
      <c r="B348" s="27" t="s">
        <v>464</v>
      </c>
      <c r="C348" s="28" t="s">
        <v>493</v>
      </c>
      <c r="D348" s="27" t="s">
        <v>494</v>
      </c>
      <c r="E348" s="12" t="s">
        <v>1322</v>
      </c>
    </row>
    <row r="349" spans="1:5" ht="63">
      <c r="A349" s="26">
        <v>342</v>
      </c>
      <c r="B349" s="27" t="s">
        <v>464</v>
      </c>
      <c r="C349" s="28" t="s">
        <v>380</v>
      </c>
      <c r="D349" s="27" t="s">
        <v>381</v>
      </c>
      <c r="E349" s="12" t="s">
        <v>1322</v>
      </c>
    </row>
    <row r="350" spans="1:5" ht="47.25">
      <c r="A350" s="26">
        <v>343</v>
      </c>
      <c r="B350" s="27" t="s">
        <v>464</v>
      </c>
      <c r="C350" s="28" t="s">
        <v>382</v>
      </c>
      <c r="D350" s="27" t="s">
        <v>383</v>
      </c>
      <c r="E350" s="12" t="s">
        <v>1322</v>
      </c>
    </row>
    <row r="351" spans="1:5" ht="63">
      <c r="A351" s="26">
        <v>344</v>
      </c>
      <c r="B351" s="27" t="s">
        <v>464</v>
      </c>
      <c r="C351" s="28" t="s">
        <v>384</v>
      </c>
      <c r="D351" s="28" t="s">
        <v>385</v>
      </c>
      <c r="E351" s="12" t="s">
        <v>1321</v>
      </c>
    </row>
    <row r="352" spans="1:5" ht="110.25">
      <c r="A352" s="26">
        <v>345</v>
      </c>
      <c r="B352" s="27" t="s">
        <v>464</v>
      </c>
      <c r="C352" s="28" t="s">
        <v>386</v>
      </c>
      <c r="D352" s="27" t="s">
        <v>1232</v>
      </c>
      <c r="E352" s="12" t="s">
        <v>1321</v>
      </c>
    </row>
    <row r="353" spans="1:5" ht="94.5">
      <c r="A353" s="26">
        <v>346</v>
      </c>
      <c r="B353" s="27" t="s">
        <v>464</v>
      </c>
      <c r="C353" s="28" t="s">
        <v>387</v>
      </c>
      <c r="D353" s="27" t="s">
        <v>388</v>
      </c>
      <c r="E353" s="12" t="s">
        <v>1321</v>
      </c>
    </row>
    <row r="354" spans="1:5" ht="110.25">
      <c r="A354" s="26">
        <v>347</v>
      </c>
      <c r="B354" s="27" t="s">
        <v>464</v>
      </c>
      <c r="C354" s="28" t="s">
        <v>389</v>
      </c>
      <c r="D354" s="27" t="s">
        <v>1233</v>
      </c>
      <c r="E354" s="12" t="s">
        <v>1321</v>
      </c>
    </row>
    <row r="355" spans="1:5" ht="47.25">
      <c r="A355" s="26">
        <v>348</v>
      </c>
      <c r="B355" s="27" t="s">
        <v>464</v>
      </c>
      <c r="C355" s="28" t="s">
        <v>390</v>
      </c>
      <c r="D355" s="27" t="s">
        <v>391</v>
      </c>
      <c r="E355" s="12" t="s">
        <v>1321</v>
      </c>
    </row>
    <row r="356" spans="1:5" ht="63">
      <c r="A356" s="26">
        <v>349</v>
      </c>
      <c r="B356" s="27" t="s">
        <v>464</v>
      </c>
      <c r="C356" s="28" t="s">
        <v>392</v>
      </c>
      <c r="D356" s="27" t="s">
        <v>393</v>
      </c>
      <c r="E356" s="12" t="s">
        <v>1321</v>
      </c>
    </row>
    <row r="357" spans="1:5" ht="47.25">
      <c r="A357" s="26">
        <v>350</v>
      </c>
      <c r="B357" s="27" t="s">
        <v>464</v>
      </c>
      <c r="C357" s="28" t="s">
        <v>394</v>
      </c>
      <c r="D357" s="27" t="s">
        <v>395</v>
      </c>
      <c r="E357" s="12" t="s">
        <v>1321</v>
      </c>
    </row>
    <row r="358" spans="1:5" ht="110.25">
      <c r="A358" s="26">
        <v>351</v>
      </c>
      <c r="B358" s="27" t="s">
        <v>464</v>
      </c>
      <c r="C358" s="28" t="s">
        <v>396</v>
      </c>
      <c r="D358" s="27" t="s">
        <v>397</v>
      </c>
      <c r="E358" s="12" t="s">
        <v>1321</v>
      </c>
    </row>
    <row r="359" spans="1:5" ht="94.5">
      <c r="A359" s="26">
        <v>352</v>
      </c>
      <c r="B359" s="27" t="s">
        <v>464</v>
      </c>
      <c r="C359" s="28" t="s">
        <v>398</v>
      </c>
      <c r="D359" s="27" t="s">
        <v>1234</v>
      </c>
      <c r="E359" s="12" t="s">
        <v>1321</v>
      </c>
    </row>
    <row r="360" spans="1:5" ht="63">
      <c r="A360" s="26">
        <v>353</v>
      </c>
      <c r="B360" s="27" t="s">
        <v>464</v>
      </c>
      <c r="C360" s="28" t="s">
        <v>14</v>
      </c>
      <c r="D360" s="27" t="s">
        <v>399</v>
      </c>
      <c r="E360" s="12" t="s">
        <v>1321</v>
      </c>
    </row>
    <row r="361" spans="1:5" ht="47.25">
      <c r="A361" s="26">
        <v>354</v>
      </c>
      <c r="B361" s="27" t="s">
        <v>464</v>
      </c>
      <c r="C361" s="28" t="s">
        <v>400</v>
      </c>
      <c r="D361" s="27" t="s">
        <v>1235</v>
      </c>
      <c r="E361" s="12" t="s">
        <v>1321</v>
      </c>
    </row>
    <row r="362" spans="1:5" ht="63">
      <c r="A362" s="26">
        <v>355</v>
      </c>
      <c r="B362" s="27" t="s">
        <v>464</v>
      </c>
      <c r="C362" s="28" t="s">
        <v>401</v>
      </c>
      <c r="D362" s="27" t="s">
        <v>1236</v>
      </c>
      <c r="E362" s="12" t="s">
        <v>1321</v>
      </c>
    </row>
    <row r="363" spans="1:5" ht="78.75">
      <c r="A363" s="26">
        <v>356</v>
      </c>
      <c r="B363" s="27" t="s">
        <v>464</v>
      </c>
      <c r="C363" s="28" t="s">
        <v>495</v>
      </c>
      <c r="D363" s="27" t="s">
        <v>496</v>
      </c>
      <c r="E363" s="12" t="s">
        <v>1321</v>
      </c>
    </row>
    <row r="364" spans="1:5" ht="47.25">
      <c r="A364" s="26">
        <v>357</v>
      </c>
      <c r="B364" s="27" t="s">
        <v>464</v>
      </c>
      <c r="C364" s="28" t="s">
        <v>497</v>
      </c>
      <c r="D364" s="27" t="s">
        <v>498</v>
      </c>
      <c r="E364" s="12" t="s">
        <v>1321</v>
      </c>
    </row>
    <row r="365" spans="1:5" ht="47.25">
      <c r="A365" s="26">
        <v>358</v>
      </c>
      <c r="B365" s="27" t="s">
        <v>464</v>
      </c>
      <c r="C365" s="28" t="s">
        <v>499</v>
      </c>
      <c r="D365" s="27" t="s">
        <v>500</v>
      </c>
      <c r="E365" s="12" t="s">
        <v>1321</v>
      </c>
    </row>
    <row r="366" spans="1:5" ht="47.25">
      <c r="A366" s="26">
        <v>359</v>
      </c>
      <c r="B366" s="27" t="s">
        <v>464</v>
      </c>
      <c r="C366" s="28" t="s">
        <v>501</v>
      </c>
      <c r="D366" s="27" t="s">
        <v>502</v>
      </c>
      <c r="E366" s="12" t="s">
        <v>1321</v>
      </c>
    </row>
    <row r="367" spans="1:5" ht="47.25">
      <c r="A367" s="26">
        <v>360</v>
      </c>
      <c r="B367" s="27" t="s">
        <v>464</v>
      </c>
      <c r="C367" s="28" t="s">
        <v>503</v>
      </c>
      <c r="D367" s="27" t="s">
        <v>504</v>
      </c>
      <c r="E367" s="12" t="s">
        <v>1321</v>
      </c>
    </row>
    <row r="368" spans="1:5" ht="47.25">
      <c r="A368" s="26">
        <v>361</v>
      </c>
      <c r="B368" s="27" t="s">
        <v>464</v>
      </c>
      <c r="C368" s="28" t="s">
        <v>505</v>
      </c>
      <c r="D368" s="27" t="s">
        <v>506</v>
      </c>
      <c r="E368" s="12" t="s">
        <v>1321</v>
      </c>
    </row>
    <row r="369" spans="1:5" ht="47.25">
      <c r="A369" s="26">
        <v>362</v>
      </c>
      <c r="B369" s="27" t="s">
        <v>464</v>
      </c>
      <c r="C369" s="28" t="s">
        <v>507</v>
      </c>
      <c r="D369" s="27" t="s">
        <v>508</v>
      </c>
      <c r="E369" s="12" t="s">
        <v>1321</v>
      </c>
    </row>
    <row r="370" spans="1:5" ht="47.25">
      <c r="A370" s="26">
        <v>363</v>
      </c>
      <c r="B370" s="27" t="s">
        <v>464</v>
      </c>
      <c r="C370" s="28" t="s">
        <v>509</v>
      </c>
      <c r="D370" s="27" t="s">
        <v>510</v>
      </c>
      <c r="E370" s="12" t="s">
        <v>1321</v>
      </c>
    </row>
    <row r="371" spans="1:5" ht="47.25">
      <c r="A371" s="26">
        <v>364</v>
      </c>
      <c r="B371" s="27" t="s">
        <v>464</v>
      </c>
      <c r="C371" s="28" t="s">
        <v>511</v>
      </c>
      <c r="D371" s="27" t="s">
        <v>512</v>
      </c>
      <c r="E371" s="12" t="s">
        <v>1321</v>
      </c>
    </row>
    <row r="372" spans="1:5" ht="31.5">
      <c r="A372" s="26">
        <v>365</v>
      </c>
      <c r="B372" s="27" t="s">
        <v>464</v>
      </c>
      <c r="C372" s="28" t="s">
        <v>513</v>
      </c>
      <c r="D372" s="27" t="s">
        <v>514</v>
      </c>
      <c r="E372" s="12" t="s">
        <v>1321</v>
      </c>
    </row>
    <row r="373" spans="1:5" ht="47.25">
      <c r="A373" s="26">
        <v>366</v>
      </c>
      <c r="B373" s="27" t="s">
        <v>464</v>
      </c>
      <c r="C373" s="28" t="s">
        <v>515</v>
      </c>
      <c r="D373" s="27" t="s">
        <v>516</v>
      </c>
      <c r="E373" s="12" t="s">
        <v>1321</v>
      </c>
    </row>
    <row r="374" spans="1:5" ht="47.25">
      <c r="A374" s="26">
        <v>367</v>
      </c>
      <c r="B374" s="27" t="s">
        <v>464</v>
      </c>
      <c r="C374" s="28" t="s">
        <v>517</v>
      </c>
      <c r="D374" s="27" t="s">
        <v>518</v>
      </c>
      <c r="E374" s="12" t="s">
        <v>1321</v>
      </c>
    </row>
    <row r="375" spans="1:5" ht="63">
      <c r="A375" s="26">
        <v>368</v>
      </c>
      <c r="B375" s="27" t="s">
        <v>464</v>
      </c>
      <c r="C375" s="28" t="s">
        <v>519</v>
      </c>
      <c r="D375" s="27" t="s">
        <v>520</v>
      </c>
      <c r="E375" s="12" t="s">
        <v>1321</v>
      </c>
    </row>
    <row r="376" spans="1:5" ht="78.75">
      <c r="A376" s="26">
        <v>369</v>
      </c>
      <c r="B376" s="27" t="s">
        <v>464</v>
      </c>
      <c r="C376" s="28" t="s">
        <v>250</v>
      </c>
      <c r="D376" s="27" t="s">
        <v>251</v>
      </c>
      <c r="E376" s="12" t="s">
        <v>1321</v>
      </c>
    </row>
    <row r="377" spans="1:5" ht="94.5">
      <c r="A377" s="26">
        <v>370</v>
      </c>
      <c r="B377" s="27" t="s">
        <v>464</v>
      </c>
      <c r="C377" s="28" t="s">
        <v>252</v>
      </c>
      <c r="D377" s="27" t="s">
        <v>1208</v>
      </c>
      <c r="E377" s="12" t="s">
        <v>1321</v>
      </c>
    </row>
    <row r="378" spans="1:5" ht="63">
      <c r="A378" s="26">
        <v>371</v>
      </c>
      <c r="B378" s="27" t="s">
        <v>464</v>
      </c>
      <c r="C378" s="28" t="s">
        <v>13</v>
      </c>
      <c r="D378" s="27" t="s">
        <v>1209</v>
      </c>
      <c r="E378" s="12" t="s">
        <v>1321</v>
      </c>
    </row>
    <row r="379" spans="1:5" ht="110.25">
      <c r="A379" s="26">
        <v>372</v>
      </c>
      <c r="B379" s="27" t="s">
        <v>464</v>
      </c>
      <c r="C379" s="28" t="s">
        <v>253</v>
      </c>
      <c r="D379" s="27" t="s">
        <v>1210</v>
      </c>
      <c r="E379" s="12" t="s">
        <v>1321</v>
      </c>
    </row>
    <row r="380" spans="1:5" ht="78.75">
      <c r="A380" s="26">
        <v>373</v>
      </c>
      <c r="B380" s="27" t="s">
        <v>464</v>
      </c>
      <c r="C380" s="28" t="s">
        <v>254</v>
      </c>
      <c r="D380" s="27" t="s">
        <v>1211</v>
      </c>
      <c r="E380" s="12" t="s">
        <v>1321</v>
      </c>
    </row>
    <row r="381" spans="1:5" ht="78.75">
      <c r="A381" s="26">
        <v>374</v>
      </c>
      <c r="B381" s="27" t="s">
        <v>464</v>
      </c>
      <c r="C381" s="28" t="s">
        <v>255</v>
      </c>
      <c r="D381" s="27" t="s">
        <v>256</v>
      </c>
      <c r="E381" s="12" t="s">
        <v>1321</v>
      </c>
    </row>
    <row r="382" spans="1:5" ht="110.25">
      <c r="A382" s="26">
        <v>375</v>
      </c>
      <c r="B382" s="27" t="s">
        <v>464</v>
      </c>
      <c r="C382" s="28" t="s">
        <v>213</v>
      </c>
      <c r="D382" s="27" t="s">
        <v>214</v>
      </c>
      <c r="E382" s="12" t="s">
        <v>1321</v>
      </c>
    </row>
    <row r="383" spans="1:5" ht="78.75">
      <c r="A383" s="26">
        <v>376</v>
      </c>
      <c r="B383" s="27" t="s">
        <v>464</v>
      </c>
      <c r="C383" s="28" t="s">
        <v>215</v>
      </c>
      <c r="D383" s="27" t="s">
        <v>216</v>
      </c>
      <c r="E383" s="12" t="s">
        <v>1321</v>
      </c>
    </row>
    <row r="384" spans="1:5" ht="63">
      <c r="A384" s="26">
        <v>377</v>
      </c>
      <c r="B384" s="27" t="s">
        <v>464</v>
      </c>
      <c r="C384" s="28" t="s">
        <v>217</v>
      </c>
      <c r="D384" s="27" t="s">
        <v>218</v>
      </c>
      <c r="E384" s="12" t="s">
        <v>1321</v>
      </c>
    </row>
    <row r="385" spans="1:5" ht="47.25">
      <c r="A385" s="26">
        <v>378</v>
      </c>
      <c r="B385" s="27" t="s">
        <v>464</v>
      </c>
      <c r="C385" s="28" t="s">
        <v>219</v>
      </c>
      <c r="D385" s="27" t="s">
        <v>220</v>
      </c>
      <c r="E385" s="12" t="s">
        <v>1322</v>
      </c>
    </row>
    <row r="386" spans="1:5" ht="78.75">
      <c r="A386" s="26">
        <v>379</v>
      </c>
      <c r="B386" s="27" t="s">
        <v>464</v>
      </c>
      <c r="C386" s="28" t="s">
        <v>128</v>
      </c>
      <c r="D386" s="27" t="s">
        <v>221</v>
      </c>
      <c r="E386" s="12" t="s">
        <v>1322</v>
      </c>
    </row>
    <row r="387" spans="1:5" ht="94.5">
      <c r="A387" s="5"/>
      <c r="B387" s="6" t="s">
        <v>521</v>
      </c>
      <c r="C387" s="6" t="s">
        <v>1316</v>
      </c>
      <c r="D387" s="6" t="s">
        <v>1172</v>
      </c>
      <c r="E387" s="164" t="s">
        <v>1324</v>
      </c>
    </row>
    <row r="388" spans="1:5" ht="78.75">
      <c r="A388" s="29">
        <v>380</v>
      </c>
      <c r="B388" s="30" t="s">
        <v>521</v>
      </c>
      <c r="C388" s="31" t="s">
        <v>465</v>
      </c>
      <c r="D388" s="30" t="s">
        <v>466</v>
      </c>
      <c r="E388" s="12" t="s">
        <v>1322</v>
      </c>
    </row>
    <row r="389" spans="1:5" ht="94.5">
      <c r="A389" s="29">
        <v>381</v>
      </c>
      <c r="B389" s="30" t="s">
        <v>521</v>
      </c>
      <c r="C389" s="31" t="s">
        <v>467</v>
      </c>
      <c r="D389" s="30" t="s">
        <v>468</v>
      </c>
      <c r="E389" s="12" t="s">
        <v>1322</v>
      </c>
    </row>
    <row r="390" spans="1:5" ht="78.75">
      <c r="A390" s="29">
        <v>382</v>
      </c>
      <c r="B390" s="30" t="s">
        <v>521</v>
      </c>
      <c r="C390" s="31" t="s">
        <v>469</v>
      </c>
      <c r="D390" s="30" t="s">
        <v>470</v>
      </c>
      <c r="E390" s="12" t="s">
        <v>1322</v>
      </c>
    </row>
    <row r="391" spans="1:5" ht="31.5">
      <c r="A391" s="29">
        <v>383</v>
      </c>
      <c r="B391" s="30" t="s">
        <v>521</v>
      </c>
      <c r="C391" s="31" t="s">
        <v>471</v>
      </c>
      <c r="D391" s="30" t="s">
        <v>472</v>
      </c>
      <c r="E391" s="12" t="s">
        <v>1321</v>
      </c>
    </row>
    <row r="392" spans="1:5" ht="63">
      <c r="A392" s="29">
        <v>384</v>
      </c>
      <c r="B392" s="30" t="s">
        <v>521</v>
      </c>
      <c r="C392" s="31" t="s">
        <v>473</v>
      </c>
      <c r="D392" s="30" t="s">
        <v>1242</v>
      </c>
      <c r="E392" s="12" t="s">
        <v>1321</v>
      </c>
    </row>
    <row r="393" spans="1:5" ht="63">
      <c r="A393" s="29">
        <v>385</v>
      </c>
      <c r="B393" s="30" t="s">
        <v>521</v>
      </c>
      <c r="C393" s="31" t="s">
        <v>474</v>
      </c>
      <c r="D393" s="30" t="s">
        <v>475</v>
      </c>
      <c r="E393" s="12" t="s">
        <v>1321</v>
      </c>
    </row>
    <row r="394" spans="1:5" ht="63">
      <c r="A394" s="29">
        <v>386</v>
      </c>
      <c r="B394" s="30" t="s">
        <v>521</v>
      </c>
      <c r="C394" s="31" t="s">
        <v>476</v>
      </c>
      <c r="D394" s="30" t="s">
        <v>477</v>
      </c>
      <c r="E394" s="12" t="s">
        <v>1321</v>
      </c>
    </row>
    <row r="395" spans="1:5" ht="78.75">
      <c r="A395" s="29">
        <v>387</v>
      </c>
      <c r="B395" s="30" t="s">
        <v>521</v>
      </c>
      <c r="C395" s="31" t="s">
        <v>478</v>
      </c>
      <c r="D395" s="30" t="s">
        <v>479</v>
      </c>
      <c r="E395" s="12" t="s">
        <v>1321</v>
      </c>
    </row>
    <row r="396" spans="1:5" ht="63">
      <c r="A396" s="29">
        <v>388</v>
      </c>
      <c r="B396" s="30" t="s">
        <v>521</v>
      </c>
      <c r="C396" s="31" t="s">
        <v>480</v>
      </c>
      <c r="D396" s="30" t="s">
        <v>1243</v>
      </c>
      <c r="E396" s="12" t="s">
        <v>1321</v>
      </c>
    </row>
    <row r="397" spans="1:5" ht="47.25">
      <c r="A397" s="29">
        <v>389</v>
      </c>
      <c r="B397" s="30" t="s">
        <v>521</v>
      </c>
      <c r="C397" s="31" t="s">
        <v>481</v>
      </c>
      <c r="D397" s="30" t="s">
        <v>1244</v>
      </c>
      <c r="E397" s="12" t="s">
        <v>1321</v>
      </c>
    </row>
    <row r="398" spans="1:5" ht="63">
      <c r="A398" s="29">
        <v>390</v>
      </c>
      <c r="B398" s="30" t="s">
        <v>521</v>
      </c>
      <c r="C398" s="31" t="s">
        <v>482</v>
      </c>
      <c r="D398" s="30" t="s">
        <v>1245</v>
      </c>
      <c r="E398" s="12" t="s">
        <v>1321</v>
      </c>
    </row>
    <row r="399" spans="1:5" ht="94.5">
      <c r="A399" s="29">
        <v>391</v>
      </c>
      <c r="B399" s="30" t="s">
        <v>521</v>
      </c>
      <c r="C399" s="31" t="s">
        <v>483</v>
      </c>
      <c r="D399" s="30" t="s">
        <v>1246</v>
      </c>
      <c r="E399" s="12" t="s">
        <v>1321</v>
      </c>
    </row>
    <row r="400" spans="1:5" ht="78.75">
      <c r="A400" s="29">
        <v>392</v>
      </c>
      <c r="B400" s="30" t="s">
        <v>521</v>
      </c>
      <c r="C400" s="31" t="s">
        <v>484</v>
      </c>
      <c r="D400" s="30" t="s">
        <v>485</v>
      </c>
      <c r="E400" s="12" t="s">
        <v>1321</v>
      </c>
    </row>
    <row r="401" spans="1:5" ht="78.75">
      <c r="A401" s="29">
        <v>393</v>
      </c>
      <c r="B401" s="30" t="s">
        <v>521</v>
      </c>
      <c r="C401" s="31" t="s">
        <v>294</v>
      </c>
      <c r="D401" s="31" t="s">
        <v>295</v>
      </c>
      <c r="E401" s="12" t="s">
        <v>1321</v>
      </c>
    </row>
    <row r="402" spans="1:5" ht="47.25">
      <c r="A402" s="29">
        <v>394</v>
      </c>
      <c r="B402" s="30" t="s">
        <v>521</v>
      </c>
      <c r="C402" s="31" t="s">
        <v>522</v>
      </c>
      <c r="D402" s="30" t="s">
        <v>1248</v>
      </c>
      <c r="E402" s="12" t="s">
        <v>1321</v>
      </c>
    </row>
    <row r="403" spans="1:5" ht="31.5">
      <c r="A403" s="29">
        <v>395</v>
      </c>
      <c r="B403" s="30" t="s">
        <v>521</v>
      </c>
      <c r="C403" s="31" t="s">
        <v>523</v>
      </c>
      <c r="D403" s="30" t="s">
        <v>524</v>
      </c>
      <c r="E403" s="12" t="s">
        <v>1321</v>
      </c>
    </row>
    <row r="404" spans="1:5" ht="47.25">
      <c r="A404" s="29">
        <v>396</v>
      </c>
      <c r="B404" s="30" t="s">
        <v>521</v>
      </c>
      <c r="C404" s="31" t="s">
        <v>525</v>
      </c>
      <c r="D404" s="31" t="s">
        <v>526</v>
      </c>
      <c r="E404" s="12" t="s">
        <v>1321</v>
      </c>
    </row>
    <row r="405" spans="1:5" ht="94.5">
      <c r="A405" s="29">
        <v>397</v>
      </c>
      <c r="B405" s="30" t="s">
        <v>521</v>
      </c>
      <c r="C405" s="31" t="s">
        <v>238</v>
      </c>
      <c r="D405" s="31" t="s">
        <v>239</v>
      </c>
      <c r="E405" s="12" t="s">
        <v>1321</v>
      </c>
    </row>
    <row r="406" spans="1:5" ht="63">
      <c r="A406" s="29">
        <v>398</v>
      </c>
      <c r="B406" s="30" t="s">
        <v>521</v>
      </c>
      <c r="C406" s="31" t="s">
        <v>527</v>
      </c>
      <c r="D406" s="30" t="s">
        <v>528</v>
      </c>
      <c r="E406" s="12" t="s">
        <v>1321</v>
      </c>
    </row>
    <row r="407" spans="1:5" ht="63">
      <c r="A407" s="29">
        <v>399</v>
      </c>
      <c r="B407" s="30" t="s">
        <v>521</v>
      </c>
      <c r="C407" s="31" t="s">
        <v>486</v>
      </c>
      <c r="D407" s="30" t="s">
        <v>487</v>
      </c>
      <c r="E407" s="12" t="s">
        <v>1321</v>
      </c>
    </row>
    <row r="408" spans="1:5" ht="63">
      <c r="A408" s="29">
        <v>400</v>
      </c>
      <c r="B408" s="30" t="s">
        <v>521</v>
      </c>
      <c r="C408" s="31" t="s">
        <v>488</v>
      </c>
      <c r="D408" s="30" t="s">
        <v>1247</v>
      </c>
      <c r="E408" s="12" t="s">
        <v>1321</v>
      </c>
    </row>
    <row r="409" spans="1:5" ht="78.75">
      <c r="A409" s="29">
        <v>401</v>
      </c>
      <c r="B409" s="30" t="s">
        <v>521</v>
      </c>
      <c r="C409" s="31" t="s">
        <v>489</v>
      </c>
      <c r="D409" s="30" t="s">
        <v>490</v>
      </c>
      <c r="E409" s="12" t="s">
        <v>1321</v>
      </c>
    </row>
    <row r="410" spans="1:5" ht="78.75">
      <c r="A410" s="29">
        <v>402</v>
      </c>
      <c r="B410" s="30" t="s">
        <v>521</v>
      </c>
      <c r="C410" s="31" t="s">
        <v>529</v>
      </c>
      <c r="D410" s="30" t="s">
        <v>530</v>
      </c>
      <c r="E410" s="12" t="s">
        <v>1321</v>
      </c>
    </row>
    <row r="411" spans="1:5" ht="78.75">
      <c r="A411" s="29">
        <v>403</v>
      </c>
      <c r="B411" s="30" t="s">
        <v>521</v>
      </c>
      <c r="C411" s="31" t="s">
        <v>531</v>
      </c>
      <c r="D411" s="31" t="s">
        <v>532</v>
      </c>
      <c r="E411" s="12" t="s">
        <v>1322</v>
      </c>
    </row>
    <row r="412" spans="1:5" ht="31.5">
      <c r="A412" s="29">
        <v>404</v>
      </c>
      <c r="B412" s="30" t="s">
        <v>521</v>
      </c>
      <c r="C412" s="31" t="s">
        <v>533</v>
      </c>
      <c r="D412" s="30" t="s">
        <v>534</v>
      </c>
      <c r="E412" s="12" t="s">
        <v>1322</v>
      </c>
    </row>
    <row r="413" spans="1:5" ht="63">
      <c r="A413" s="29">
        <v>405</v>
      </c>
      <c r="B413" s="30" t="s">
        <v>521</v>
      </c>
      <c r="C413" s="31" t="s">
        <v>535</v>
      </c>
      <c r="D413" s="30" t="s">
        <v>536</v>
      </c>
      <c r="E413" s="12" t="s">
        <v>1322</v>
      </c>
    </row>
    <row r="414" spans="1:5" ht="78.75">
      <c r="A414" s="29">
        <v>406</v>
      </c>
      <c r="B414" s="30" t="s">
        <v>521</v>
      </c>
      <c r="C414" s="31" t="s">
        <v>537</v>
      </c>
      <c r="D414" s="30" t="s">
        <v>538</v>
      </c>
      <c r="E414" s="12" t="s">
        <v>1322</v>
      </c>
    </row>
    <row r="415" spans="1:5" ht="78.75">
      <c r="A415" s="29">
        <v>407</v>
      </c>
      <c r="B415" s="30" t="s">
        <v>521</v>
      </c>
      <c r="C415" s="31" t="s">
        <v>539</v>
      </c>
      <c r="D415" s="30" t="s">
        <v>538</v>
      </c>
      <c r="E415" s="12" t="s">
        <v>1322</v>
      </c>
    </row>
    <row r="416" spans="1:5" ht="78.75">
      <c r="A416" s="29">
        <v>408</v>
      </c>
      <c r="B416" s="30" t="s">
        <v>521</v>
      </c>
      <c r="C416" s="31" t="s">
        <v>540</v>
      </c>
      <c r="D416" s="30" t="s">
        <v>538</v>
      </c>
      <c r="E416" s="12" t="s">
        <v>1322</v>
      </c>
    </row>
    <row r="417" spans="1:5" ht="78.75">
      <c r="A417" s="29">
        <v>409</v>
      </c>
      <c r="B417" s="30" t="s">
        <v>521</v>
      </c>
      <c r="C417" s="31" t="s">
        <v>541</v>
      </c>
      <c r="D417" s="30" t="s">
        <v>542</v>
      </c>
      <c r="E417" s="12" t="s">
        <v>1322</v>
      </c>
    </row>
    <row r="418" spans="1:5" ht="78.75">
      <c r="A418" s="29">
        <v>410</v>
      </c>
      <c r="B418" s="30" t="s">
        <v>521</v>
      </c>
      <c r="C418" s="31" t="s">
        <v>543</v>
      </c>
      <c r="D418" s="30" t="s">
        <v>1249</v>
      </c>
      <c r="E418" s="12" t="s">
        <v>1322</v>
      </c>
    </row>
    <row r="419" spans="1:5" ht="47.25">
      <c r="A419" s="29">
        <v>411</v>
      </c>
      <c r="B419" s="30" t="s">
        <v>521</v>
      </c>
      <c r="C419" s="31" t="s">
        <v>544</v>
      </c>
      <c r="D419" s="30" t="s">
        <v>545</v>
      </c>
      <c r="E419" s="12" t="s">
        <v>1322</v>
      </c>
    </row>
    <row r="420" spans="1:5" ht="47.25">
      <c r="A420" s="29">
        <v>412</v>
      </c>
      <c r="B420" s="30" t="s">
        <v>521</v>
      </c>
      <c r="C420" s="31" t="s">
        <v>546</v>
      </c>
      <c r="D420" s="30" t="s">
        <v>547</v>
      </c>
      <c r="E420" s="12" t="s">
        <v>1322</v>
      </c>
    </row>
    <row r="421" spans="1:5" ht="78.75">
      <c r="A421" s="29">
        <v>413</v>
      </c>
      <c r="B421" s="30" t="s">
        <v>521</v>
      </c>
      <c r="C421" s="31" t="s">
        <v>548</v>
      </c>
      <c r="D421" s="30" t="s">
        <v>549</v>
      </c>
      <c r="E421" s="12" t="s">
        <v>1322</v>
      </c>
    </row>
    <row r="422" spans="1:5" ht="78.75">
      <c r="A422" s="29">
        <v>414</v>
      </c>
      <c r="B422" s="30" t="s">
        <v>521</v>
      </c>
      <c r="C422" s="31" t="s">
        <v>550</v>
      </c>
      <c r="D422" s="30" t="s">
        <v>551</v>
      </c>
      <c r="E422" s="12" t="s">
        <v>1322</v>
      </c>
    </row>
    <row r="423" spans="1:5" ht="94.5">
      <c r="A423" s="29">
        <v>415</v>
      </c>
      <c r="B423" s="30" t="s">
        <v>521</v>
      </c>
      <c r="C423" s="31" t="s">
        <v>552</v>
      </c>
      <c r="D423" s="30" t="s">
        <v>553</v>
      </c>
      <c r="E423" s="12" t="s">
        <v>1320</v>
      </c>
    </row>
    <row r="424" spans="1:5" ht="31.5">
      <c r="A424" s="29">
        <v>416</v>
      </c>
      <c r="B424" s="30" t="s">
        <v>521</v>
      </c>
      <c r="C424" s="31" t="s">
        <v>554</v>
      </c>
      <c r="D424" s="30" t="s">
        <v>555</v>
      </c>
      <c r="E424" s="12" t="s">
        <v>1320</v>
      </c>
    </row>
    <row r="425" spans="1:5" ht="78.75">
      <c r="A425" s="29">
        <v>417</v>
      </c>
      <c r="B425" s="30" t="s">
        <v>521</v>
      </c>
      <c r="C425" s="31" t="s">
        <v>556</v>
      </c>
      <c r="D425" s="30" t="s">
        <v>1250</v>
      </c>
      <c r="E425" s="12" t="s">
        <v>1320</v>
      </c>
    </row>
    <row r="426" spans="1:5" ht="94.5">
      <c r="A426" s="29">
        <v>418</v>
      </c>
      <c r="B426" s="30" t="s">
        <v>521</v>
      </c>
      <c r="C426" s="31" t="s">
        <v>557</v>
      </c>
      <c r="D426" s="30" t="s">
        <v>1251</v>
      </c>
      <c r="E426" s="12" t="s">
        <v>1320</v>
      </c>
    </row>
    <row r="427" spans="1:5" ht="78.75">
      <c r="A427" s="29">
        <v>419</v>
      </c>
      <c r="B427" s="30" t="s">
        <v>521</v>
      </c>
      <c r="C427" s="31" t="s">
        <v>558</v>
      </c>
      <c r="D427" s="30" t="s">
        <v>559</v>
      </c>
      <c r="E427" s="12" t="s">
        <v>1320</v>
      </c>
    </row>
    <row r="428" spans="1:5" ht="78.75">
      <c r="A428" s="29">
        <v>420</v>
      </c>
      <c r="B428" s="30" t="s">
        <v>521</v>
      </c>
      <c r="C428" s="31" t="s">
        <v>560</v>
      </c>
      <c r="D428" s="30" t="s">
        <v>561</v>
      </c>
      <c r="E428" s="12" t="s">
        <v>1320</v>
      </c>
    </row>
    <row r="429" spans="1:5" ht="78.75">
      <c r="A429" s="29">
        <v>421</v>
      </c>
      <c r="B429" s="30" t="s">
        <v>521</v>
      </c>
      <c r="C429" s="31" t="s">
        <v>562</v>
      </c>
      <c r="D429" s="30" t="s">
        <v>563</v>
      </c>
      <c r="E429" s="12" t="s">
        <v>1320</v>
      </c>
    </row>
    <row r="430" spans="1:5" ht="63">
      <c r="A430" s="29">
        <v>422</v>
      </c>
      <c r="B430" s="30" t="s">
        <v>521</v>
      </c>
      <c r="C430" s="31" t="s">
        <v>380</v>
      </c>
      <c r="D430" s="30" t="s">
        <v>381</v>
      </c>
      <c r="E430" s="12" t="s">
        <v>1320</v>
      </c>
    </row>
    <row r="431" spans="1:5" ht="47.25">
      <c r="A431" s="29">
        <v>423</v>
      </c>
      <c r="B431" s="30" t="s">
        <v>521</v>
      </c>
      <c r="C431" s="31" t="s">
        <v>382</v>
      </c>
      <c r="D431" s="30" t="s">
        <v>383</v>
      </c>
      <c r="E431" s="12" t="s">
        <v>1320</v>
      </c>
    </row>
    <row r="432" spans="1:5" ht="63">
      <c r="A432" s="29">
        <v>424</v>
      </c>
      <c r="B432" s="30" t="s">
        <v>521</v>
      </c>
      <c r="C432" s="31" t="s">
        <v>384</v>
      </c>
      <c r="D432" s="31" t="s">
        <v>385</v>
      </c>
      <c r="E432" s="12" t="s">
        <v>1320</v>
      </c>
    </row>
    <row r="433" spans="1:5" ht="110.25">
      <c r="A433" s="29">
        <v>425</v>
      </c>
      <c r="B433" s="30" t="s">
        <v>521</v>
      </c>
      <c r="C433" s="31" t="s">
        <v>386</v>
      </c>
      <c r="D433" s="30" t="s">
        <v>1232</v>
      </c>
      <c r="E433" s="12" t="s">
        <v>1320</v>
      </c>
    </row>
    <row r="434" spans="1:5" ht="94.5">
      <c r="A434" s="29">
        <v>426</v>
      </c>
      <c r="B434" s="30" t="s">
        <v>521</v>
      </c>
      <c r="C434" s="31" t="s">
        <v>387</v>
      </c>
      <c r="D434" s="30" t="s">
        <v>388</v>
      </c>
      <c r="E434" s="12" t="s">
        <v>1320</v>
      </c>
    </row>
    <row r="435" spans="1:5" ht="110.25">
      <c r="A435" s="29">
        <v>427</v>
      </c>
      <c r="B435" s="30" t="s">
        <v>521</v>
      </c>
      <c r="C435" s="31" t="s">
        <v>389</v>
      </c>
      <c r="D435" s="30" t="s">
        <v>1233</v>
      </c>
      <c r="E435" s="12" t="s">
        <v>1320</v>
      </c>
    </row>
    <row r="436" spans="1:5" ht="47.25">
      <c r="A436" s="29">
        <v>428</v>
      </c>
      <c r="B436" s="30" t="s">
        <v>521</v>
      </c>
      <c r="C436" s="31" t="s">
        <v>390</v>
      </c>
      <c r="D436" s="30" t="s">
        <v>391</v>
      </c>
      <c r="E436" s="12" t="s">
        <v>1320</v>
      </c>
    </row>
    <row r="437" spans="1:5" ht="63">
      <c r="A437" s="29">
        <v>429</v>
      </c>
      <c r="B437" s="30" t="s">
        <v>521</v>
      </c>
      <c r="C437" s="31" t="s">
        <v>392</v>
      </c>
      <c r="D437" s="30" t="s">
        <v>393</v>
      </c>
      <c r="E437" s="12" t="s">
        <v>1320</v>
      </c>
    </row>
    <row r="438" spans="1:5" ht="47.25">
      <c r="A438" s="29">
        <v>430</v>
      </c>
      <c r="B438" s="30" t="s">
        <v>521</v>
      </c>
      <c r="C438" s="31" t="s">
        <v>394</v>
      </c>
      <c r="D438" s="30" t="s">
        <v>395</v>
      </c>
      <c r="E438" s="12" t="s">
        <v>1320</v>
      </c>
    </row>
    <row r="439" spans="1:5" ht="110.25">
      <c r="A439" s="29">
        <v>431</v>
      </c>
      <c r="B439" s="30" t="s">
        <v>521</v>
      </c>
      <c r="C439" s="31" t="s">
        <v>396</v>
      </c>
      <c r="D439" s="30" t="s">
        <v>397</v>
      </c>
      <c r="E439" s="12" t="s">
        <v>1320</v>
      </c>
    </row>
    <row r="440" spans="1:5" ht="94.5">
      <c r="A440" s="29">
        <v>432</v>
      </c>
      <c r="B440" s="30" t="s">
        <v>521</v>
      </c>
      <c r="C440" s="31" t="s">
        <v>398</v>
      </c>
      <c r="D440" s="30" t="s">
        <v>1234</v>
      </c>
      <c r="E440" s="12" t="s">
        <v>1320</v>
      </c>
    </row>
    <row r="441" spans="1:5" ht="63">
      <c r="A441" s="29">
        <v>433</v>
      </c>
      <c r="B441" s="30" t="s">
        <v>521</v>
      </c>
      <c r="C441" s="31" t="s">
        <v>14</v>
      </c>
      <c r="D441" s="30" t="s">
        <v>399</v>
      </c>
      <c r="E441" s="12" t="s">
        <v>1320</v>
      </c>
    </row>
    <row r="442" spans="1:5" ht="47.25">
      <c r="A442" s="29">
        <v>434</v>
      </c>
      <c r="B442" s="30" t="s">
        <v>521</v>
      </c>
      <c r="C442" s="31" t="s">
        <v>400</v>
      </c>
      <c r="D442" s="30" t="s">
        <v>1235</v>
      </c>
      <c r="E442" s="12" t="s">
        <v>1320</v>
      </c>
    </row>
    <row r="443" spans="1:5" ht="63">
      <c r="A443" s="29">
        <v>435</v>
      </c>
      <c r="B443" s="30" t="s">
        <v>521</v>
      </c>
      <c r="C443" s="31" t="s">
        <v>401</v>
      </c>
      <c r="D443" s="30" t="s">
        <v>1236</v>
      </c>
      <c r="E443" s="12" t="s">
        <v>1320</v>
      </c>
    </row>
    <row r="444" spans="1:5" ht="63">
      <c r="A444" s="29">
        <v>436</v>
      </c>
      <c r="B444" s="30" t="s">
        <v>521</v>
      </c>
      <c r="C444" s="31" t="s">
        <v>564</v>
      </c>
      <c r="D444" s="30" t="s">
        <v>565</v>
      </c>
      <c r="E444" s="12" t="s">
        <v>1320</v>
      </c>
    </row>
    <row r="445" spans="1:5" ht="78.75">
      <c r="A445" s="29">
        <v>437</v>
      </c>
      <c r="B445" s="30" t="s">
        <v>521</v>
      </c>
      <c r="C445" s="31" t="s">
        <v>566</v>
      </c>
      <c r="D445" s="30" t="s">
        <v>567</v>
      </c>
      <c r="E445" s="12" t="s">
        <v>1320</v>
      </c>
    </row>
    <row r="446" spans="1:5" ht="47.25">
      <c r="A446" s="29">
        <v>438</v>
      </c>
      <c r="B446" s="30" t="s">
        <v>521</v>
      </c>
      <c r="C446" s="31" t="s">
        <v>568</v>
      </c>
      <c r="D446" s="30" t="s">
        <v>569</v>
      </c>
      <c r="E446" s="12" t="s">
        <v>1320</v>
      </c>
    </row>
    <row r="447" spans="1:5" ht="47.25">
      <c r="A447" s="29">
        <v>439</v>
      </c>
      <c r="B447" s="30" t="s">
        <v>521</v>
      </c>
      <c r="C447" s="31" t="s">
        <v>570</v>
      </c>
      <c r="D447" s="30" t="s">
        <v>571</v>
      </c>
      <c r="E447" s="12" t="s">
        <v>1320</v>
      </c>
    </row>
    <row r="448" spans="1:5" ht="63">
      <c r="A448" s="29">
        <v>440</v>
      </c>
      <c r="B448" s="30" t="s">
        <v>521</v>
      </c>
      <c r="C448" s="31" t="s">
        <v>572</v>
      </c>
      <c r="D448" s="30" t="s">
        <v>573</v>
      </c>
      <c r="E448" s="12" t="s">
        <v>1320</v>
      </c>
    </row>
    <row r="449" spans="1:5" ht="78.75">
      <c r="A449" s="29">
        <v>441</v>
      </c>
      <c r="B449" s="30" t="s">
        <v>521</v>
      </c>
      <c r="C449" s="31" t="s">
        <v>574</v>
      </c>
      <c r="D449" s="30" t="s">
        <v>1252</v>
      </c>
      <c r="E449" s="12" t="s">
        <v>1320</v>
      </c>
    </row>
    <row r="450" spans="1:5" ht="31.5">
      <c r="A450" s="29">
        <v>442</v>
      </c>
      <c r="B450" s="30" t="s">
        <v>521</v>
      </c>
      <c r="C450" s="31" t="s">
        <v>575</v>
      </c>
      <c r="D450" s="31" t="s">
        <v>576</v>
      </c>
      <c r="E450" s="12" t="s">
        <v>1320</v>
      </c>
    </row>
    <row r="451" spans="1:5" ht="63">
      <c r="A451" s="29">
        <v>443</v>
      </c>
      <c r="B451" s="30" t="s">
        <v>521</v>
      </c>
      <c r="C451" s="31" t="s">
        <v>577</v>
      </c>
      <c r="D451" s="30" t="s">
        <v>578</v>
      </c>
      <c r="E451" s="12" t="s">
        <v>1320</v>
      </c>
    </row>
    <row r="452" spans="1:5" ht="78.75">
      <c r="A452" s="29">
        <v>444</v>
      </c>
      <c r="B452" s="30" t="s">
        <v>521</v>
      </c>
      <c r="C452" s="31" t="s">
        <v>579</v>
      </c>
      <c r="D452" s="30" t="s">
        <v>580</v>
      </c>
      <c r="E452" s="12" t="s">
        <v>1320</v>
      </c>
    </row>
    <row r="453" spans="1:5" ht="47.25">
      <c r="A453" s="29">
        <v>445</v>
      </c>
      <c r="B453" s="30" t="s">
        <v>521</v>
      </c>
      <c r="C453" s="31" t="s">
        <v>581</v>
      </c>
      <c r="D453" s="30" t="s">
        <v>582</v>
      </c>
      <c r="E453" s="12" t="s">
        <v>1320</v>
      </c>
    </row>
    <row r="454" spans="1:5" ht="63">
      <c r="A454" s="29">
        <v>446</v>
      </c>
      <c r="B454" s="30" t="s">
        <v>521</v>
      </c>
      <c r="C454" s="31" t="s">
        <v>583</v>
      </c>
      <c r="D454" s="30" t="s">
        <v>584</v>
      </c>
      <c r="E454" s="12" t="s">
        <v>1320</v>
      </c>
    </row>
    <row r="455" spans="1:5" ht="63">
      <c r="A455" s="29">
        <v>447</v>
      </c>
      <c r="B455" s="30" t="s">
        <v>521</v>
      </c>
      <c r="C455" s="31" t="s">
        <v>585</v>
      </c>
      <c r="D455" s="30" t="s">
        <v>586</v>
      </c>
      <c r="E455" s="12" t="s">
        <v>1320</v>
      </c>
    </row>
    <row r="456" spans="1:5" ht="78.75">
      <c r="A456" s="29">
        <v>448</v>
      </c>
      <c r="B456" s="30" t="s">
        <v>521</v>
      </c>
      <c r="C456" s="31" t="s">
        <v>587</v>
      </c>
      <c r="D456" s="30" t="s">
        <v>1253</v>
      </c>
      <c r="E456" s="12" t="s">
        <v>1320</v>
      </c>
    </row>
    <row r="457" spans="1:5" ht="78.75">
      <c r="A457" s="29">
        <v>449</v>
      </c>
      <c r="B457" s="30" t="s">
        <v>521</v>
      </c>
      <c r="C457" s="31" t="s">
        <v>588</v>
      </c>
      <c r="D457" s="30" t="s">
        <v>589</v>
      </c>
      <c r="E457" s="12" t="s">
        <v>1320</v>
      </c>
    </row>
    <row r="458" spans="1:5" ht="47.25">
      <c r="A458" s="29">
        <v>450</v>
      </c>
      <c r="B458" s="30" t="s">
        <v>521</v>
      </c>
      <c r="C458" s="31" t="s">
        <v>590</v>
      </c>
      <c r="D458" s="30" t="s">
        <v>591</v>
      </c>
      <c r="E458" s="12" t="s">
        <v>1320</v>
      </c>
    </row>
    <row r="459" spans="1:5" ht="47.25">
      <c r="A459" s="29">
        <v>451</v>
      </c>
      <c r="B459" s="30" t="s">
        <v>521</v>
      </c>
      <c r="C459" s="31" t="s">
        <v>592</v>
      </c>
      <c r="D459" s="30" t="s">
        <v>1254</v>
      </c>
      <c r="E459" s="12" t="s">
        <v>1320</v>
      </c>
    </row>
    <row r="460" spans="1:5" ht="47.25">
      <c r="A460" s="29">
        <v>452</v>
      </c>
      <c r="B460" s="30" t="s">
        <v>521</v>
      </c>
      <c r="C460" s="31" t="s">
        <v>593</v>
      </c>
      <c r="D460" s="30" t="s">
        <v>594</v>
      </c>
      <c r="E460" s="12" t="s">
        <v>1320</v>
      </c>
    </row>
    <row r="461" spans="1:5" ht="63">
      <c r="A461" s="29">
        <v>453</v>
      </c>
      <c r="B461" s="30" t="s">
        <v>521</v>
      </c>
      <c r="C461" s="31" t="s">
        <v>595</v>
      </c>
      <c r="D461" s="31" t="s">
        <v>596</v>
      </c>
      <c r="E461" s="12" t="s">
        <v>1320</v>
      </c>
    </row>
    <row r="462" spans="1:5" ht="47.25">
      <c r="A462" s="29">
        <v>454</v>
      </c>
      <c r="B462" s="30" t="s">
        <v>521</v>
      </c>
      <c r="C462" s="31" t="s">
        <v>597</v>
      </c>
      <c r="D462" s="30" t="s">
        <v>1255</v>
      </c>
      <c r="E462" s="12" t="s">
        <v>1320</v>
      </c>
    </row>
    <row r="463" spans="1:5" ht="47.25">
      <c r="A463" s="29">
        <v>455</v>
      </c>
      <c r="B463" s="30" t="s">
        <v>521</v>
      </c>
      <c r="C463" s="31" t="s">
        <v>598</v>
      </c>
      <c r="D463" s="30" t="s">
        <v>599</v>
      </c>
      <c r="E463" s="12" t="s">
        <v>1320</v>
      </c>
    </row>
    <row r="464" spans="1:5" ht="63">
      <c r="A464" s="29">
        <v>456</v>
      </c>
      <c r="B464" s="30" t="s">
        <v>521</v>
      </c>
      <c r="C464" s="31" t="s">
        <v>600</v>
      </c>
      <c r="D464" s="30" t="s">
        <v>1256</v>
      </c>
      <c r="E464" s="12" t="s">
        <v>1320</v>
      </c>
    </row>
    <row r="465" spans="1:5" ht="63">
      <c r="A465" s="29">
        <v>457</v>
      </c>
      <c r="B465" s="30" t="s">
        <v>521</v>
      </c>
      <c r="C465" s="31" t="s">
        <v>601</v>
      </c>
      <c r="D465" s="30" t="s">
        <v>602</v>
      </c>
      <c r="E465" s="12" t="s">
        <v>1320</v>
      </c>
    </row>
    <row r="466" spans="1:5" ht="63">
      <c r="A466" s="29">
        <v>458</v>
      </c>
      <c r="B466" s="30" t="s">
        <v>521</v>
      </c>
      <c r="C466" s="31" t="s">
        <v>603</v>
      </c>
      <c r="D466" s="30" t="s">
        <v>1257</v>
      </c>
      <c r="E466" s="12" t="s">
        <v>1320</v>
      </c>
    </row>
    <row r="467" spans="1:5" ht="47.25">
      <c r="A467" s="29">
        <v>459</v>
      </c>
      <c r="B467" s="30" t="s">
        <v>521</v>
      </c>
      <c r="C467" s="31" t="s">
        <v>604</v>
      </c>
      <c r="D467" s="31" t="s">
        <v>605</v>
      </c>
      <c r="E467" s="12" t="s">
        <v>1320</v>
      </c>
    </row>
    <row r="468" spans="1:5" ht="78.75">
      <c r="A468" s="29">
        <v>460</v>
      </c>
      <c r="B468" s="30" t="s">
        <v>521</v>
      </c>
      <c r="C468" s="31" t="s">
        <v>606</v>
      </c>
      <c r="D468" s="30" t="s">
        <v>1258</v>
      </c>
      <c r="E468" s="12" t="s">
        <v>1320</v>
      </c>
    </row>
    <row r="469" spans="1:5" ht="63">
      <c r="A469" s="29">
        <v>461</v>
      </c>
      <c r="B469" s="30" t="s">
        <v>521</v>
      </c>
      <c r="C469" s="31" t="s">
        <v>607</v>
      </c>
      <c r="D469" s="30" t="s">
        <v>608</v>
      </c>
      <c r="E469" s="12" t="s">
        <v>1320</v>
      </c>
    </row>
    <row r="470" spans="1:5" ht="78.75">
      <c r="A470" s="29">
        <v>462</v>
      </c>
      <c r="B470" s="30" t="s">
        <v>521</v>
      </c>
      <c r="C470" s="31" t="s">
        <v>609</v>
      </c>
      <c r="D470" s="30" t="s">
        <v>610</v>
      </c>
      <c r="E470" s="12" t="s">
        <v>1320</v>
      </c>
    </row>
    <row r="471" spans="1:5" ht="63">
      <c r="A471" s="29">
        <v>463</v>
      </c>
      <c r="B471" s="30" t="s">
        <v>521</v>
      </c>
      <c r="C471" s="31" t="s">
        <v>611</v>
      </c>
      <c r="D471" s="30" t="s">
        <v>1259</v>
      </c>
      <c r="E471" s="12" t="s">
        <v>1320</v>
      </c>
    </row>
    <row r="472" spans="1:5" ht="78.75">
      <c r="A472" s="29">
        <v>464</v>
      </c>
      <c r="B472" s="30" t="s">
        <v>521</v>
      </c>
      <c r="C472" s="31" t="s">
        <v>612</v>
      </c>
      <c r="D472" s="30" t="s">
        <v>1260</v>
      </c>
      <c r="E472" s="12" t="s">
        <v>1320</v>
      </c>
    </row>
    <row r="473" spans="1:5" ht="63">
      <c r="A473" s="29">
        <v>465</v>
      </c>
      <c r="B473" s="30" t="s">
        <v>521</v>
      </c>
      <c r="C473" s="31" t="s">
        <v>613</v>
      </c>
      <c r="D473" s="30" t="s">
        <v>614</v>
      </c>
      <c r="E473" s="12" t="s">
        <v>1320</v>
      </c>
    </row>
    <row r="474" spans="1:5" ht="94.5">
      <c r="A474" s="29">
        <v>466</v>
      </c>
      <c r="B474" s="30" t="s">
        <v>521</v>
      </c>
      <c r="C474" s="31" t="s">
        <v>615</v>
      </c>
      <c r="D474" s="30" t="s">
        <v>616</v>
      </c>
      <c r="E474" s="12" t="s">
        <v>1320</v>
      </c>
    </row>
    <row r="475" spans="1:5" ht="47.25">
      <c r="A475" s="29">
        <v>467</v>
      </c>
      <c r="B475" s="30" t="s">
        <v>521</v>
      </c>
      <c r="C475" s="31" t="s">
        <v>617</v>
      </c>
      <c r="D475" s="30" t="s">
        <v>618</v>
      </c>
      <c r="E475" s="12" t="s">
        <v>1320</v>
      </c>
    </row>
    <row r="476" spans="1:5" ht="78.75">
      <c r="A476" s="29">
        <v>468</v>
      </c>
      <c r="B476" s="30" t="s">
        <v>521</v>
      </c>
      <c r="C476" s="31" t="s">
        <v>619</v>
      </c>
      <c r="D476" s="30" t="s">
        <v>1261</v>
      </c>
      <c r="E476" s="12" t="s">
        <v>1320</v>
      </c>
    </row>
    <row r="477" spans="1:5" ht="78.75">
      <c r="A477" s="29">
        <v>469</v>
      </c>
      <c r="B477" s="30" t="s">
        <v>521</v>
      </c>
      <c r="C477" s="31" t="s">
        <v>620</v>
      </c>
      <c r="D477" s="30" t="s">
        <v>1262</v>
      </c>
      <c r="E477" s="12" t="s">
        <v>1320</v>
      </c>
    </row>
    <row r="478" spans="1:5" ht="78.75">
      <c r="A478" s="29">
        <v>470</v>
      </c>
      <c r="B478" s="30" t="s">
        <v>521</v>
      </c>
      <c r="C478" s="31" t="s">
        <v>621</v>
      </c>
      <c r="D478" s="30" t="s">
        <v>622</v>
      </c>
      <c r="E478" s="12" t="s">
        <v>1320</v>
      </c>
    </row>
    <row r="479" spans="1:5" ht="47.25">
      <c r="A479" s="29">
        <v>471</v>
      </c>
      <c r="B479" s="30" t="s">
        <v>521</v>
      </c>
      <c r="C479" s="31" t="s">
        <v>623</v>
      </c>
      <c r="D479" s="30" t="s">
        <v>1263</v>
      </c>
      <c r="E479" s="12" t="s">
        <v>1320</v>
      </c>
    </row>
    <row r="480" spans="1:5" ht="94.5">
      <c r="A480" s="29">
        <v>472</v>
      </c>
      <c r="B480" s="30" t="s">
        <v>521</v>
      </c>
      <c r="C480" s="31" t="s">
        <v>404</v>
      </c>
      <c r="D480" s="31" t="s">
        <v>405</v>
      </c>
      <c r="E480" s="12" t="s">
        <v>1320</v>
      </c>
    </row>
    <row r="481" spans="1:5" ht="31.5">
      <c r="A481" s="29">
        <v>473</v>
      </c>
      <c r="B481" s="30" t="s">
        <v>521</v>
      </c>
      <c r="C481" s="31" t="s">
        <v>406</v>
      </c>
      <c r="D481" s="30" t="s">
        <v>407</v>
      </c>
      <c r="E481" s="12" t="s">
        <v>1320</v>
      </c>
    </row>
    <row r="482" spans="1:5" ht="31.5">
      <c r="A482" s="29">
        <v>474</v>
      </c>
      <c r="B482" s="30" t="s">
        <v>521</v>
      </c>
      <c r="C482" s="31" t="s">
        <v>408</v>
      </c>
      <c r="D482" s="30" t="s">
        <v>409</v>
      </c>
      <c r="E482" s="12" t="s">
        <v>1320</v>
      </c>
    </row>
    <row r="483" spans="1:5" ht="63">
      <c r="A483" s="29">
        <v>475</v>
      </c>
      <c r="B483" s="30" t="s">
        <v>521</v>
      </c>
      <c r="C483" s="31" t="s">
        <v>410</v>
      </c>
      <c r="D483" s="30" t="s">
        <v>1237</v>
      </c>
      <c r="E483" s="12" t="s">
        <v>1320</v>
      </c>
    </row>
    <row r="484" spans="1:5" ht="31.5">
      <c r="A484" s="29">
        <v>476</v>
      </c>
      <c r="B484" s="30" t="s">
        <v>521</v>
      </c>
      <c r="C484" s="31" t="s">
        <v>411</v>
      </c>
      <c r="D484" s="31" t="s">
        <v>412</v>
      </c>
      <c r="E484" s="12" t="s">
        <v>1320</v>
      </c>
    </row>
    <row r="485" spans="1:5" ht="63">
      <c r="A485" s="29">
        <v>477</v>
      </c>
      <c r="B485" s="30" t="s">
        <v>521</v>
      </c>
      <c r="C485" s="31" t="s">
        <v>413</v>
      </c>
      <c r="D485" s="30" t="s">
        <v>1238</v>
      </c>
      <c r="E485" s="12" t="s">
        <v>1320</v>
      </c>
    </row>
    <row r="486" spans="1:5" ht="31.5">
      <c r="A486" s="29">
        <v>478</v>
      </c>
      <c r="B486" s="30" t="s">
        <v>521</v>
      </c>
      <c r="C486" s="31" t="s">
        <v>414</v>
      </c>
      <c r="D486" s="30" t="s">
        <v>415</v>
      </c>
      <c r="E486" s="12" t="s">
        <v>1320</v>
      </c>
    </row>
    <row r="487" spans="1:5" ht="47.25">
      <c r="A487" s="29">
        <v>479</v>
      </c>
      <c r="B487" s="30" t="s">
        <v>521</v>
      </c>
      <c r="C487" s="31" t="s">
        <v>416</v>
      </c>
      <c r="D487" s="30" t="s">
        <v>417</v>
      </c>
      <c r="E487" s="12" t="s">
        <v>1320</v>
      </c>
    </row>
    <row r="488" spans="1:5" ht="94.5">
      <c r="A488" s="29">
        <v>480</v>
      </c>
      <c r="B488" s="30" t="s">
        <v>521</v>
      </c>
      <c r="C488" s="31" t="s">
        <v>418</v>
      </c>
      <c r="D488" s="30" t="s">
        <v>1239</v>
      </c>
      <c r="E488" s="12" t="s">
        <v>1320</v>
      </c>
    </row>
    <row r="489" spans="1:5" ht="47.25">
      <c r="A489" s="29">
        <v>481</v>
      </c>
      <c r="B489" s="30" t="s">
        <v>521</v>
      </c>
      <c r="C489" s="31" t="s">
        <v>419</v>
      </c>
      <c r="D489" s="30" t="s">
        <v>420</v>
      </c>
      <c r="E489" s="12" t="s">
        <v>1322</v>
      </c>
    </row>
    <row r="490" spans="1:5" ht="47.25">
      <c r="A490" s="29">
        <v>482</v>
      </c>
      <c r="B490" s="30" t="s">
        <v>521</v>
      </c>
      <c r="C490" s="31" t="s">
        <v>624</v>
      </c>
      <c r="D490" s="30" t="s">
        <v>625</v>
      </c>
      <c r="E490" s="12" t="s">
        <v>1322</v>
      </c>
    </row>
    <row r="491" spans="1:5" ht="78.75">
      <c r="A491" s="29">
        <v>483</v>
      </c>
      <c r="B491" s="30" t="s">
        <v>521</v>
      </c>
      <c r="C491" s="31" t="s">
        <v>626</v>
      </c>
      <c r="D491" s="31" t="s">
        <v>627</v>
      </c>
      <c r="E491" s="12" t="s">
        <v>1322</v>
      </c>
    </row>
    <row r="492" spans="1:5" ht="78.75">
      <c r="A492" s="29">
        <v>484</v>
      </c>
      <c r="B492" s="30" t="s">
        <v>521</v>
      </c>
      <c r="C492" s="31" t="s">
        <v>628</v>
      </c>
      <c r="D492" s="30" t="s">
        <v>1264</v>
      </c>
      <c r="E492" s="12" t="s">
        <v>1322</v>
      </c>
    </row>
    <row r="493" spans="1:5" ht="47.25">
      <c r="A493" s="29">
        <v>485</v>
      </c>
      <c r="B493" s="30" t="s">
        <v>521</v>
      </c>
      <c r="C493" s="31" t="s">
        <v>629</v>
      </c>
      <c r="D493" s="30" t="s">
        <v>630</v>
      </c>
      <c r="E493" s="12" t="s">
        <v>1322</v>
      </c>
    </row>
    <row r="494" spans="1:5" ht="63">
      <c r="A494" s="29">
        <v>486</v>
      </c>
      <c r="B494" s="30" t="s">
        <v>521</v>
      </c>
      <c r="C494" s="31" t="s">
        <v>631</v>
      </c>
      <c r="D494" s="30" t="s">
        <v>632</v>
      </c>
      <c r="E494" s="12" t="s">
        <v>1322</v>
      </c>
    </row>
    <row r="495" spans="1:5" ht="78.75">
      <c r="A495" s="29">
        <v>487</v>
      </c>
      <c r="B495" s="30" t="s">
        <v>521</v>
      </c>
      <c r="C495" s="31" t="s">
        <v>633</v>
      </c>
      <c r="D495" s="30" t="s">
        <v>634</v>
      </c>
      <c r="E495" s="12" t="s">
        <v>1322</v>
      </c>
    </row>
    <row r="496" spans="1:5" ht="31.5">
      <c r="A496" s="29">
        <v>488</v>
      </c>
      <c r="B496" s="30" t="s">
        <v>521</v>
      </c>
      <c r="C496" s="31" t="s">
        <v>635</v>
      </c>
      <c r="D496" s="30" t="s">
        <v>636</v>
      </c>
      <c r="E496" s="12" t="s">
        <v>1322</v>
      </c>
    </row>
    <row r="497" spans="1:5" ht="31.5">
      <c r="A497" s="29">
        <v>489</v>
      </c>
      <c r="B497" s="30" t="s">
        <v>521</v>
      </c>
      <c r="C497" s="31" t="s">
        <v>637</v>
      </c>
      <c r="D497" s="30" t="s">
        <v>638</v>
      </c>
      <c r="E497" s="12" t="s">
        <v>1322</v>
      </c>
    </row>
    <row r="498" spans="1:5" ht="47.25">
      <c r="A498" s="29">
        <v>490</v>
      </c>
      <c r="B498" s="30" t="s">
        <v>521</v>
      </c>
      <c r="C498" s="31" t="s">
        <v>639</v>
      </c>
      <c r="D498" s="30" t="s">
        <v>640</v>
      </c>
      <c r="E498" s="12" t="s">
        <v>1322</v>
      </c>
    </row>
    <row r="499" spans="1:5" ht="63">
      <c r="A499" s="29">
        <v>491</v>
      </c>
      <c r="B499" s="30" t="s">
        <v>521</v>
      </c>
      <c r="C499" s="31" t="s">
        <v>641</v>
      </c>
      <c r="D499" s="30" t="s">
        <v>642</v>
      </c>
      <c r="E499" s="12" t="s">
        <v>1322</v>
      </c>
    </row>
    <row r="500" spans="1:5" ht="47.25">
      <c r="A500" s="29">
        <v>492</v>
      </c>
      <c r="B500" s="30" t="s">
        <v>521</v>
      </c>
      <c r="C500" s="31" t="s">
        <v>643</v>
      </c>
      <c r="D500" s="30" t="s">
        <v>644</v>
      </c>
      <c r="E500" s="12" t="s">
        <v>1322</v>
      </c>
    </row>
    <row r="501" spans="1:5" ht="47.25">
      <c r="A501" s="29">
        <v>493</v>
      </c>
      <c r="B501" s="30" t="s">
        <v>521</v>
      </c>
      <c r="C501" s="31" t="s">
        <v>645</v>
      </c>
      <c r="D501" s="30" t="s">
        <v>646</v>
      </c>
      <c r="E501" s="12" t="s">
        <v>1322</v>
      </c>
    </row>
    <row r="502" spans="1:5" ht="47.25">
      <c r="A502" s="29">
        <v>494</v>
      </c>
      <c r="B502" s="30" t="s">
        <v>521</v>
      </c>
      <c r="C502" s="31" t="s">
        <v>647</v>
      </c>
      <c r="D502" s="30" t="s">
        <v>648</v>
      </c>
      <c r="E502" s="12" t="s">
        <v>1322</v>
      </c>
    </row>
    <row r="503" spans="1:5" ht="47.25">
      <c r="A503" s="29">
        <v>495</v>
      </c>
      <c r="B503" s="30" t="s">
        <v>521</v>
      </c>
      <c r="C503" s="31" t="s">
        <v>649</v>
      </c>
      <c r="D503" s="30" t="s">
        <v>650</v>
      </c>
      <c r="E503" s="12" t="s">
        <v>1322</v>
      </c>
    </row>
    <row r="504" spans="1:5" ht="47.25">
      <c r="A504" s="29">
        <v>496</v>
      </c>
      <c r="B504" s="30" t="s">
        <v>521</v>
      </c>
      <c r="C504" s="31" t="s">
        <v>651</v>
      </c>
      <c r="D504" s="30" t="s">
        <v>652</v>
      </c>
      <c r="E504" s="12" t="s">
        <v>1322</v>
      </c>
    </row>
    <row r="505" spans="1:5" ht="78.75">
      <c r="A505" s="29">
        <v>497</v>
      </c>
      <c r="B505" s="30" t="s">
        <v>521</v>
      </c>
      <c r="C505" s="31" t="s">
        <v>653</v>
      </c>
      <c r="D505" s="30" t="s">
        <v>654</v>
      </c>
      <c r="E505" s="12" t="s">
        <v>1322</v>
      </c>
    </row>
    <row r="506" spans="1:5" ht="47.25">
      <c r="A506" s="29">
        <v>498</v>
      </c>
      <c r="B506" s="30" t="s">
        <v>521</v>
      </c>
      <c r="C506" s="31" t="s">
        <v>655</v>
      </c>
      <c r="D506" s="30" t="s">
        <v>656</v>
      </c>
      <c r="E506" s="12" t="s">
        <v>1322</v>
      </c>
    </row>
    <row r="507" spans="1:5" ht="47.25">
      <c r="A507" s="29">
        <v>499</v>
      </c>
      <c r="B507" s="30" t="s">
        <v>521</v>
      </c>
      <c r="C507" s="31" t="s">
        <v>657</v>
      </c>
      <c r="D507" s="30" t="s">
        <v>658</v>
      </c>
      <c r="E507" s="12" t="s">
        <v>1321</v>
      </c>
    </row>
    <row r="508" spans="1:5" ht="47.25">
      <c r="A508" s="29">
        <v>500</v>
      </c>
      <c r="B508" s="30" t="s">
        <v>521</v>
      </c>
      <c r="C508" s="31" t="s">
        <v>659</v>
      </c>
      <c r="D508" s="30" t="s">
        <v>660</v>
      </c>
      <c r="E508" s="12" t="s">
        <v>1321</v>
      </c>
    </row>
    <row r="509" spans="1:5" ht="78.75">
      <c r="A509" s="29">
        <v>501</v>
      </c>
      <c r="B509" s="30" t="s">
        <v>521</v>
      </c>
      <c r="C509" s="31" t="s">
        <v>661</v>
      </c>
      <c r="D509" s="30" t="s">
        <v>662</v>
      </c>
      <c r="E509" s="12" t="s">
        <v>1321</v>
      </c>
    </row>
    <row r="510" spans="1:5" ht="63">
      <c r="A510" s="29">
        <v>502</v>
      </c>
      <c r="B510" s="30" t="s">
        <v>521</v>
      </c>
      <c r="C510" s="31" t="s">
        <v>663</v>
      </c>
      <c r="D510" s="31" t="s">
        <v>664</v>
      </c>
      <c r="E510" s="12" t="s">
        <v>1321</v>
      </c>
    </row>
    <row r="511" spans="1:5" ht="63">
      <c r="A511" s="29">
        <v>503</v>
      </c>
      <c r="B511" s="30" t="s">
        <v>521</v>
      </c>
      <c r="C511" s="31" t="s">
        <v>665</v>
      </c>
      <c r="D511" s="30" t="s">
        <v>1265</v>
      </c>
      <c r="E511" s="12" t="s">
        <v>1321</v>
      </c>
    </row>
    <row r="512" spans="1:5" ht="63">
      <c r="A512" s="29">
        <v>504</v>
      </c>
      <c r="B512" s="30" t="s">
        <v>521</v>
      </c>
      <c r="C512" s="31" t="s">
        <v>666</v>
      </c>
      <c r="D512" s="31" t="s">
        <v>667</v>
      </c>
      <c r="E512" s="12" t="s">
        <v>1321</v>
      </c>
    </row>
    <row r="513" spans="1:5" ht="63">
      <c r="A513" s="29">
        <v>505</v>
      </c>
      <c r="B513" s="30" t="s">
        <v>521</v>
      </c>
      <c r="C513" s="31" t="s">
        <v>668</v>
      </c>
      <c r="D513" s="30" t="s">
        <v>1266</v>
      </c>
      <c r="E513" s="12" t="s">
        <v>1321</v>
      </c>
    </row>
    <row r="514" spans="1:5" ht="78.75">
      <c r="A514" s="29">
        <v>506</v>
      </c>
      <c r="B514" s="30" t="s">
        <v>521</v>
      </c>
      <c r="C514" s="31" t="s">
        <v>669</v>
      </c>
      <c r="D514" s="30" t="s">
        <v>1267</v>
      </c>
      <c r="E514" s="12" t="s">
        <v>1321</v>
      </c>
    </row>
    <row r="515" spans="1:5" ht="63">
      <c r="A515" s="29">
        <v>507</v>
      </c>
      <c r="B515" s="30" t="s">
        <v>521</v>
      </c>
      <c r="C515" s="31" t="s">
        <v>670</v>
      </c>
      <c r="D515" s="30" t="s">
        <v>1268</v>
      </c>
      <c r="E515" s="12" t="s">
        <v>1321</v>
      </c>
    </row>
    <row r="516" spans="1:5" ht="78.75">
      <c r="A516" s="29">
        <v>508</v>
      </c>
      <c r="B516" s="30" t="s">
        <v>521</v>
      </c>
      <c r="C516" s="31" t="s">
        <v>671</v>
      </c>
      <c r="D516" s="30" t="s">
        <v>1269</v>
      </c>
      <c r="E516" s="12" t="s">
        <v>1321</v>
      </c>
    </row>
    <row r="517" spans="1:5" ht="94.5">
      <c r="A517" s="29">
        <v>509</v>
      </c>
      <c r="B517" s="30" t="s">
        <v>521</v>
      </c>
      <c r="C517" s="31" t="s">
        <v>672</v>
      </c>
      <c r="D517" s="30" t="s">
        <v>1270</v>
      </c>
      <c r="E517" s="12" t="s">
        <v>1321</v>
      </c>
    </row>
    <row r="518" spans="1:5" ht="78.75">
      <c r="A518" s="29">
        <v>510</v>
      </c>
      <c r="B518" s="30" t="s">
        <v>521</v>
      </c>
      <c r="C518" s="31" t="s">
        <v>673</v>
      </c>
      <c r="D518" s="30" t="s">
        <v>1271</v>
      </c>
      <c r="E518" s="12" t="s">
        <v>1321</v>
      </c>
    </row>
    <row r="519" spans="1:5" ht="47.25">
      <c r="A519" s="29">
        <v>511</v>
      </c>
      <c r="B519" s="30" t="s">
        <v>521</v>
      </c>
      <c r="C519" s="31" t="s">
        <v>437</v>
      </c>
      <c r="D519" s="30" t="s">
        <v>438</v>
      </c>
      <c r="E519" s="12" t="s">
        <v>1321</v>
      </c>
    </row>
    <row r="520" spans="1:5" ht="47.25">
      <c r="A520" s="29">
        <v>512</v>
      </c>
      <c r="B520" s="30" t="s">
        <v>521</v>
      </c>
      <c r="C520" s="31" t="s">
        <v>439</v>
      </c>
      <c r="D520" s="30" t="s">
        <v>440</v>
      </c>
      <c r="E520" s="12" t="s">
        <v>1321</v>
      </c>
    </row>
    <row r="521" spans="1:5" ht="78.75">
      <c r="A521" s="29">
        <v>513</v>
      </c>
      <c r="B521" s="30" t="s">
        <v>521</v>
      </c>
      <c r="C521" s="31" t="s">
        <v>441</v>
      </c>
      <c r="D521" s="31" t="s">
        <v>442</v>
      </c>
      <c r="E521" s="12" t="s">
        <v>1321</v>
      </c>
    </row>
    <row r="522" spans="1:5" ht="47.25">
      <c r="A522" s="29">
        <v>514</v>
      </c>
      <c r="B522" s="30" t="s">
        <v>521</v>
      </c>
      <c r="C522" s="31" t="s">
        <v>443</v>
      </c>
      <c r="D522" s="30" t="s">
        <v>444</v>
      </c>
      <c r="E522" s="12" t="s">
        <v>1321</v>
      </c>
    </row>
    <row r="523" spans="1:5" ht="31.5">
      <c r="A523" s="29">
        <v>515</v>
      </c>
      <c r="B523" s="30" t="s">
        <v>521</v>
      </c>
      <c r="C523" s="31" t="s">
        <v>445</v>
      </c>
      <c r="D523" s="30" t="s">
        <v>446</v>
      </c>
      <c r="E523" s="12" t="s">
        <v>1321</v>
      </c>
    </row>
    <row r="524" spans="1:5" ht="63">
      <c r="A524" s="29">
        <v>516</v>
      </c>
      <c r="B524" s="30" t="s">
        <v>521</v>
      </c>
      <c r="C524" s="31" t="s">
        <v>447</v>
      </c>
      <c r="D524" s="30" t="s">
        <v>448</v>
      </c>
      <c r="E524" s="12" t="s">
        <v>1321</v>
      </c>
    </row>
    <row r="525" spans="1:5" ht="78.75">
      <c r="A525" s="29">
        <v>517</v>
      </c>
      <c r="B525" s="30" t="s">
        <v>521</v>
      </c>
      <c r="C525" s="31" t="s">
        <v>495</v>
      </c>
      <c r="D525" s="30" t="s">
        <v>496</v>
      </c>
      <c r="E525" s="12" t="s">
        <v>1321</v>
      </c>
    </row>
    <row r="526" spans="1:5" ht="47.25">
      <c r="A526" s="29">
        <v>518</v>
      </c>
      <c r="B526" s="30" t="s">
        <v>521</v>
      </c>
      <c r="C526" s="31" t="s">
        <v>497</v>
      </c>
      <c r="D526" s="30" t="s">
        <v>498</v>
      </c>
      <c r="E526" s="12" t="s">
        <v>1321</v>
      </c>
    </row>
    <row r="527" spans="1:5" ht="47.25">
      <c r="A527" s="29">
        <v>519</v>
      </c>
      <c r="B527" s="30" t="s">
        <v>521</v>
      </c>
      <c r="C527" s="31" t="s">
        <v>499</v>
      </c>
      <c r="D527" s="30" t="s">
        <v>500</v>
      </c>
      <c r="E527" s="12" t="s">
        <v>1321</v>
      </c>
    </row>
    <row r="528" spans="1:5" ht="47.25">
      <c r="A528" s="29">
        <v>520</v>
      </c>
      <c r="B528" s="30" t="s">
        <v>521</v>
      </c>
      <c r="C528" s="31" t="s">
        <v>501</v>
      </c>
      <c r="D528" s="30" t="s">
        <v>502</v>
      </c>
      <c r="E528" s="12" t="s">
        <v>1321</v>
      </c>
    </row>
    <row r="529" spans="1:5" ht="47.25">
      <c r="A529" s="29">
        <v>521</v>
      </c>
      <c r="B529" s="30" t="s">
        <v>521</v>
      </c>
      <c r="C529" s="31" t="s">
        <v>503</v>
      </c>
      <c r="D529" s="30" t="s">
        <v>504</v>
      </c>
      <c r="E529" s="12" t="s">
        <v>1321</v>
      </c>
    </row>
    <row r="530" spans="1:5" ht="47.25">
      <c r="A530" s="29">
        <v>522</v>
      </c>
      <c r="B530" s="30" t="s">
        <v>521</v>
      </c>
      <c r="C530" s="31" t="s">
        <v>505</v>
      </c>
      <c r="D530" s="30" t="s">
        <v>506</v>
      </c>
      <c r="E530" s="12" t="s">
        <v>1321</v>
      </c>
    </row>
    <row r="531" spans="1:5" ht="47.25">
      <c r="A531" s="29">
        <v>523</v>
      </c>
      <c r="B531" s="30" t="s">
        <v>521</v>
      </c>
      <c r="C531" s="31" t="s">
        <v>507</v>
      </c>
      <c r="D531" s="30" t="s">
        <v>508</v>
      </c>
      <c r="E531" s="12" t="s">
        <v>1321</v>
      </c>
    </row>
    <row r="532" spans="1:5" ht="47.25">
      <c r="A532" s="29">
        <v>524</v>
      </c>
      <c r="B532" s="30" t="s">
        <v>521</v>
      </c>
      <c r="C532" s="31" t="s">
        <v>509</v>
      </c>
      <c r="D532" s="30" t="s">
        <v>510</v>
      </c>
      <c r="E532" s="12" t="s">
        <v>1321</v>
      </c>
    </row>
    <row r="533" spans="1:5" ht="47.25">
      <c r="A533" s="29">
        <v>525</v>
      </c>
      <c r="B533" s="30" t="s">
        <v>521</v>
      </c>
      <c r="C533" s="31" t="s">
        <v>511</v>
      </c>
      <c r="D533" s="30" t="s">
        <v>512</v>
      </c>
      <c r="E533" s="12" t="s">
        <v>1321</v>
      </c>
    </row>
    <row r="534" spans="1:5" ht="31.5">
      <c r="A534" s="29">
        <v>526</v>
      </c>
      <c r="B534" s="30" t="s">
        <v>521</v>
      </c>
      <c r="C534" s="31" t="s">
        <v>513</v>
      </c>
      <c r="D534" s="30" t="s">
        <v>514</v>
      </c>
      <c r="E534" s="12" t="s">
        <v>1321</v>
      </c>
    </row>
    <row r="535" spans="1:5" ht="47.25">
      <c r="A535" s="29">
        <v>527</v>
      </c>
      <c r="B535" s="30" t="s">
        <v>521</v>
      </c>
      <c r="C535" s="31" t="s">
        <v>515</v>
      </c>
      <c r="D535" s="30" t="s">
        <v>516</v>
      </c>
      <c r="E535" s="12" t="s">
        <v>1321</v>
      </c>
    </row>
    <row r="536" spans="1:5" ht="47.25">
      <c r="A536" s="29">
        <v>528</v>
      </c>
      <c r="B536" s="30" t="s">
        <v>521</v>
      </c>
      <c r="C536" s="31" t="s">
        <v>517</v>
      </c>
      <c r="D536" s="30" t="s">
        <v>518</v>
      </c>
      <c r="E536" s="12" t="s">
        <v>1321</v>
      </c>
    </row>
    <row r="537" spans="1:5" ht="63">
      <c r="A537" s="29">
        <v>529</v>
      </c>
      <c r="B537" s="30" t="s">
        <v>521</v>
      </c>
      <c r="C537" s="31" t="s">
        <v>519</v>
      </c>
      <c r="D537" s="30" t="s">
        <v>520</v>
      </c>
      <c r="E537" s="12" t="s">
        <v>1321</v>
      </c>
    </row>
    <row r="538" spans="1:5" ht="47.25">
      <c r="A538" s="29">
        <v>530</v>
      </c>
      <c r="B538" s="30" t="s">
        <v>521</v>
      </c>
      <c r="C538" s="31" t="s">
        <v>674</v>
      </c>
      <c r="D538" s="31" t="s">
        <v>675</v>
      </c>
      <c r="E538" s="12" t="s">
        <v>1321</v>
      </c>
    </row>
    <row r="539" spans="1:5" ht="78.75">
      <c r="A539" s="29">
        <v>531</v>
      </c>
      <c r="B539" s="30" t="s">
        <v>521</v>
      </c>
      <c r="C539" s="31" t="s">
        <v>676</v>
      </c>
      <c r="D539" s="30" t="s">
        <v>677</v>
      </c>
      <c r="E539" s="12" t="s">
        <v>1321</v>
      </c>
    </row>
    <row r="540" spans="1:5" ht="47.25">
      <c r="A540" s="29">
        <v>532</v>
      </c>
      <c r="B540" s="30" t="s">
        <v>521</v>
      </c>
      <c r="C540" s="31" t="s">
        <v>16</v>
      </c>
      <c r="D540" s="30" t="s">
        <v>678</v>
      </c>
      <c r="E540" s="12" t="s">
        <v>1321</v>
      </c>
    </row>
    <row r="541" spans="1:5" ht="78.75">
      <c r="A541" s="29">
        <v>533</v>
      </c>
      <c r="B541" s="30" t="s">
        <v>521</v>
      </c>
      <c r="C541" s="31" t="s">
        <v>679</v>
      </c>
      <c r="D541" s="30" t="s">
        <v>680</v>
      </c>
      <c r="E541" s="12" t="s">
        <v>1321</v>
      </c>
    </row>
    <row r="542" spans="1:5" ht="78.75">
      <c r="A542" s="29">
        <v>534</v>
      </c>
      <c r="B542" s="30" t="s">
        <v>521</v>
      </c>
      <c r="C542" s="31" t="s">
        <v>681</v>
      </c>
      <c r="D542" s="30" t="s">
        <v>682</v>
      </c>
      <c r="E542" s="12" t="s">
        <v>1321</v>
      </c>
    </row>
    <row r="543" spans="1:5" ht="63">
      <c r="A543" s="29">
        <v>535</v>
      </c>
      <c r="B543" s="30" t="s">
        <v>521</v>
      </c>
      <c r="C543" s="31" t="s">
        <v>683</v>
      </c>
      <c r="D543" s="31" t="s">
        <v>684</v>
      </c>
      <c r="E543" s="12" t="s">
        <v>1321</v>
      </c>
    </row>
    <row r="544" spans="1:5" ht="94.5">
      <c r="A544" s="29">
        <v>536</v>
      </c>
      <c r="B544" s="30" t="s">
        <v>521</v>
      </c>
      <c r="C544" s="31" t="s">
        <v>685</v>
      </c>
      <c r="D544" s="30" t="s">
        <v>686</v>
      </c>
      <c r="E544" s="12" t="s">
        <v>1321</v>
      </c>
    </row>
    <row r="545" spans="1:5" ht="94.5">
      <c r="A545" s="29">
        <v>537</v>
      </c>
      <c r="B545" s="30" t="s">
        <v>521</v>
      </c>
      <c r="C545" s="31" t="s">
        <v>687</v>
      </c>
      <c r="D545" s="30" t="s">
        <v>688</v>
      </c>
      <c r="E545" s="12" t="s">
        <v>1321</v>
      </c>
    </row>
    <row r="546" spans="1:5" ht="94.5">
      <c r="A546" s="29">
        <v>538</v>
      </c>
      <c r="B546" s="30" t="s">
        <v>521</v>
      </c>
      <c r="C546" s="31" t="s">
        <v>689</v>
      </c>
      <c r="D546" s="30" t="s">
        <v>1272</v>
      </c>
      <c r="E546" s="12" t="s">
        <v>1321</v>
      </c>
    </row>
    <row r="547" spans="1:5" ht="47.25">
      <c r="A547" s="29">
        <v>539</v>
      </c>
      <c r="B547" s="30" t="s">
        <v>521</v>
      </c>
      <c r="C547" s="31" t="s">
        <v>690</v>
      </c>
      <c r="D547" s="30" t="s">
        <v>691</v>
      </c>
      <c r="E547" s="12" t="s">
        <v>1321</v>
      </c>
    </row>
    <row r="548" spans="1:5" ht="94.5">
      <c r="A548" s="29">
        <v>540</v>
      </c>
      <c r="B548" s="30" t="s">
        <v>521</v>
      </c>
      <c r="C548" s="31" t="s">
        <v>692</v>
      </c>
      <c r="D548" s="30" t="s">
        <v>693</v>
      </c>
      <c r="E548" s="12" t="s">
        <v>1321</v>
      </c>
    </row>
    <row r="549" spans="1:5" ht="63">
      <c r="A549" s="29">
        <v>541</v>
      </c>
      <c r="B549" s="30" t="s">
        <v>521</v>
      </c>
      <c r="C549" s="31" t="s">
        <v>694</v>
      </c>
      <c r="D549" s="30" t="s">
        <v>695</v>
      </c>
      <c r="E549" s="12" t="s">
        <v>1321</v>
      </c>
    </row>
    <row r="550" spans="1:5" ht="47.25">
      <c r="A550" s="29">
        <v>542</v>
      </c>
      <c r="B550" s="30" t="s">
        <v>521</v>
      </c>
      <c r="C550" s="31" t="s">
        <v>696</v>
      </c>
      <c r="D550" s="30" t="s">
        <v>697</v>
      </c>
      <c r="E550" s="12" t="s">
        <v>1321</v>
      </c>
    </row>
    <row r="551" spans="1:5" ht="47.25">
      <c r="A551" s="29">
        <v>543</v>
      </c>
      <c r="B551" s="30" t="s">
        <v>521</v>
      </c>
      <c r="C551" s="31" t="s">
        <v>17</v>
      </c>
      <c r="D551" s="30" t="s">
        <v>698</v>
      </c>
      <c r="E551" s="12" t="s">
        <v>1321</v>
      </c>
    </row>
    <row r="552" spans="1:5" ht="63">
      <c r="A552" s="29">
        <v>544</v>
      </c>
      <c r="B552" s="30" t="s">
        <v>521</v>
      </c>
      <c r="C552" s="31" t="s">
        <v>18</v>
      </c>
      <c r="D552" s="30" t="s">
        <v>1273</v>
      </c>
      <c r="E552" s="12" t="s">
        <v>1321</v>
      </c>
    </row>
    <row r="553" spans="1:5" ht="47.25">
      <c r="A553" s="29">
        <v>545</v>
      </c>
      <c r="B553" s="30" t="s">
        <v>521</v>
      </c>
      <c r="C553" s="31" t="s">
        <v>19</v>
      </c>
      <c r="D553" s="30" t="s">
        <v>699</v>
      </c>
      <c r="E553" s="12" t="s">
        <v>1321</v>
      </c>
    </row>
    <row r="554" spans="1:5" ht="47.25">
      <c r="A554" s="29">
        <v>546</v>
      </c>
      <c r="B554" s="30" t="s">
        <v>521</v>
      </c>
      <c r="C554" s="31" t="s">
        <v>20</v>
      </c>
      <c r="D554" s="30" t="s">
        <v>700</v>
      </c>
      <c r="E554" s="12" t="s">
        <v>1321</v>
      </c>
    </row>
    <row r="555" spans="1:5" ht="47.25">
      <c r="A555" s="29">
        <v>547</v>
      </c>
      <c r="B555" s="30" t="s">
        <v>521</v>
      </c>
      <c r="C555" s="31" t="s">
        <v>21</v>
      </c>
      <c r="D555" s="30" t="s">
        <v>701</v>
      </c>
      <c r="E555" s="12" t="s">
        <v>1321</v>
      </c>
    </row>
    <row r="556" spans="1:5" ht="47.25">
      <c r="A556" s="29">
        <v>548</v>
      </c>
      <c r="B556" s="30" t="s">
        <v>521</v>
      </c>
      <c r="C556" s="31" t="s">
        <v>22</v>
      </c>
      <c r="D556" s="31" t="s">
        <v>702</v>
      </c>
      <c r="E556" s="12" t="s">
        <v>1321</v>
      </c>
    </row>
    <row r="557" spans="1:5" ht="47.25">
      <c r="A557" s="29">
        <v>549</v>
      </c>
      <c r="B557" s="30" t="s">
        <v>521</v>
      </c>
      <c r="C557" s="31" t="s">
        <v>23</v>
      </c>
      <c r="D557" s="30" t="s">
        <v>703</v>
      </c>
      <c r="E557" s="12" t="s">
        <v>1321</v>
      </c>
    </row>
    <row r="558" spans="1:5" ht="63">
      <c r="A558" s="29">
        <v>550</v>
      </c>
      <c r="B558" s="30" t="s">
        <v>521</v>
      </c>
      <c r="C558" s="31" t="s">
        <v>24</v>
      </c>
      <c r="D558" s="31" t="s">
        <v>704</v>
      </c>
      <c r="E558" s="12" t="s">
        <v>1321</v>
      </c>
    </row>
    <row r="559" spans="1:5" ht="31.5">
      <c r="A559" s="29">
        <v>551</v>
      </c>
      <c r="B559" s="30" t="s">
        <v>521</v>
      </c>
      <c r="C559" s="31" t="s">
        <v>705</v>
      </c>
      <c r="D559" s="30" t="s">
        <v>706</v>
      </c>
      <c r="E559" s="12" t="s">
        <v>1322</v>
      </c>
    </row>
    <row r="560" spans="1:5" ht="31.5">
      <c r="A560" s="29">
        <v>552</v>
      </c>
      <c r="B560" s="30" t="s">
        <v>521</v>
      </c>
      <c r="C560" s="31" t="s">
        <v>25</v>
      </c>
      <c r="D560" s="30" t="s">
        <v>707</v>
      </c>
      <c r="E560" s="12" t="s">
        <v>1322</v>
      </c>
    </row>
    <row r="561" spans="1:5" ht="78.75">
      <c r="A561" s="29">
        <v>553</v>
      </c>
      <c r="B561" s="30" t="s">
        <v>521</v>
      </c>
      <c r="C561" s="31" t="s">
        <v>26</v>
      </c>
      <c r="D561" s="30" t="s">
        <v>708</v>
      </c>
      <c r="E561" s="12" t="s">
        <v>1322</v>
      </c>
    </row>
    <row r="562" spans="1:5" ht="63">
      <c r="A562" s="29">
        <v>554</v>
      </c>
      <c r="B562" s="30" t="s">
        <v>521</v>
      </c>
      <c r="C562" s="31" t="s">
        <v>709</v>
      </c>
      <c r="D562" s="30" t="s">
        <v>710</v>
      </c>
      <c r="E562" s="12" t="s">
        <v>1322</v>
      </c>
    </row>
    <row r="563" spans="1:5" ht="63">
      <c r="A563" s="29">
        <v>555</v>
      </c>
      <c r="B563" s="30" t="s">
        <v>521</v>
      </c>
      <c r="C563" s="31" t="s">
        <v>711</v>
      </c>
      <c r="D563" s="30" t="s">
        <v>712</v>
      </c>
      <c r="E563" s="12" t="s">
        <v>1322</v>
      </c>
    </row>
    <row r="564" spans="1:5" ht="63">
      <c r="A564" s="29">
        <v>556</v>
      </c>
      <c r="B564" s="30" t="s">
        <v>521</v>
      </c>
      <c r="C564" s="31" t="s">
        <v>27</v>
      </c>
      <c r="D564" s="30" t="s">
        <v>1274</v>
      </c>
      <c r="E564" s="12" t="s">
        <v>1322</v>
      </c>
    </row>
    <row r="565" spans="1:5" ht="63">
      <c r="A565" s="29">
        <v>557</v>
      </c>
      <c r="B565" s="30" t="s">
        <v>521</v>
      </c>
      <c r="C565" s="31" t="s">
        <v>713</v>
      </c>
      <c r="D565" s="31" t="s">
        <v>714</v>
      </c>
      <c r="E565" s="12" t="s">
        <v>1322</v>
      </c>
    </row>
    <row r="566" spans="1:5" ht="63">
      <c r="A566" s="29">
        <v>558</v>
      </c>
      <c r="B566" s="30" t="s">
        <v>521</v>
      </c>
      <c r="C566" s="31" t="s">
        <v>715</v>
      </c>
      <c r="D566" s="30" t="s">
        <v>716</v>
      </c>
      <c r="E566" s="12" t="s">
        <v>1322</v>
      </c>
    </row>
    <row r="567" spans="1:5" ht="126">
      <c r="A567" s="29">
        <v>559</v>
      </c>
      <c r="B567" s="30" t="s">
        <v>521</v>
      </c>
      <c r="C567" s="31" t="s">
        <v>459</v>
      </c>
      <c r="D567" s="31" t="s">
        <v>460</v>
      </c>
      <c r="E567" s="12" t="s">
        <v>1322</v>
      </c>
    </row>
    <row r="568" spans="1:5" ht="47.25">
      <c r="A568" s="29">
        <v>560</v>
      </c>
      <c r="B568" s="30" t="s">
        <v>521</v>
      </c>
      <c r="C568" s="31" t="s">
        <v>461</v>
      </c>
      <c r="D568" s="30" t="s">
        <v>462</v>
      </c>
      <c r="E568" s="12" t="s">
        <v>1322</v>
      </c>
    </row>
    <row r="569" spans="1:5" ht="78.75">
      <c r="A569" s="29">
        <v>561</v>
      </c>
      <c r="B569" s="30" t="s">
        <v>521</v>
      </c>
      <c r="C569" s="31" t="s">
        <v>463</v>
      </c>
      <c r="D569" s="30" t="s">
        <v>1241</v>
      </c>
      <c r="E569" s="12" t="s">
        <v>1322</v>
      </c>
    </row>
    <row r="570" spans="1:5" ht="78.75">
      <c r="A570" s="29">
        <v>562</v>
      </c>
      <c r="B570" s="30" t="s">
        <v>521</v>
      </c>
      <c r="C570" s="31" t="s">
        <v>717</v>
      </c>
      <c r="D570" s="30" t="s">
        <v>718</v>
      </c>
      <c r="E570" s="12" t="s">
        <v>1322</v>
      </c>
    </row>
    <row r="571" spans="1:5" ht="47.25">
      <c r="A571" s="29">
        <v>563</v>
      </c>
      <c r="B571" s="30" t="s">
        <v>521</v>
      </c>
      <c r="C571" s="31" t="s">
        <v>28</v>
      </c>
      <c r="D571" s="30" t="s">
        <v>719</v>
      </c>
      <c r="E571" s="12" t="s">
        <v>1322</v>
      </c>
    </row>
    <row r="572" spans="1:5" ht="78.75">
      <c r="A572" s="29">
        <v>564</v>
      </c>
      <c r="B572" s="30" t="s">
        <v>521</v>
      </c>
      <c r="C572" s="31" t="s">
        <v>720</v>
      </c>
      <c r="D572" s="30" t="s">
        <v>721</v>
      </c>
      <c r="E572" s="12" t="s">
        <v>1322</v>
      </c>
    </row>
    <row r="573" spans="1:5" ht="31.5">
      <c r="A573" s="29">
        <v>565</v>
      </c>
      <c r="B573" s="30" t="s">
        <v>521</v>
      </c>
      <c r="C573" s="31" t="s">
        <v>722</v>
      </c>
      <c r="D573" s="30" t="s">
        <v>723</v>
      </c>
      <c r="E573" s="12" t="s">
        <v>1322</v>
      </c>
    </row>
    <row r="574" spans="1:5" ht="31.5">
      <c r="A574" s="29">
        <v>566</v>
      </c>
      <c r="B574" s="30" t="s">
        <v>521</v>
      </c>
      <c r="C574" s="31" t="s">
        <v>724</v>
      </c>
      <c r="D574" s="30" t="s">
        <v>725</v>
      </c>
      <c r="E574" s="12" t="s">
        <v>1322</v>
      </c>
    </row>
    <row r="575" spans="1:5" ht="47.25">
      <c r="A575" s="29">
        <v>567</v>
      </c>
      <c r="B575" s="30" t="s">
        <v>521</v>
      </c>
      <c r="C575" s="31" t="s">
        <v>726</v>
      </c>
      <c r="D575" s="30" t="s">
        <v>727</v>
      </c>
      <c r="E575" s="12" t="s">
        <v>1322</v>
      </c>
    </row>
    <row r="576" spans="1:5" ht="63">
      <c r="A576" s="29">
        <v>568</v>
      </c>
      <c r="B576" s="30" t="s">
        <v>521</v>
      </c>
      <c r="C576" s="31" t="s">
        <v>728</v>
      </c>
      <c r="D576" s="30" t="s">
        <v>729</v>
      </c>
      <c r="E576" s="12" t="s">
        <v>1322</v>
      </c>
    </row>
    <row r="577" spans="1:5" ht="63">
      <c r="A577" s="29">
        <v>569</v>
      </c>
      <c r="B577" s="30" t="s">
        <v>521</v>
      </c>
      <c r="C577" s="31" t="s">
        <v>730</v>
      </c>
      <c r="D577" s="30" t="s">
        <v>731</v>
      </c>
      <c r="E577" s="12" t="s">
        <v>1322</v>
      </c>
    </row>
    <row r="578" spans="1:5" ht="31.5">
      <c r="A578" s="29">
        <v>570</v>
      </c>
      <c r="B578" s="30" t="s">
        <v>521</v>
      </c>
      <c r="C578" s="31" t="s">
        <v>732</v>
      </c>
      <c r="D578" s="30" t="s">
        <v>733</v>
      </c>
      <c r="E578" s="12" t="s">
        <v>1322</v>
      </c>
    </row>
    <row r="579" spans="1:5" ht="110.25">
      <c r="A579" s="29">
        <v>571</v>
      </c>
      <c r="B579" s="30" t="s">
        <v>521</v>
      </c>
      <c r="C579" s="31" t="s">
        <v>213</v>
      </c>
      <c r="D579" s="30" t="s">
        <v>214</v>
      </c>
      <c r="E579" s="12" t="s">
        <v>1322</v>
      </c>
    </row>
    <row r="580" spans="1:5" ht="78.75">
      <c r="A580" s="29">
        <v>572</v>
      </c>
      <c r="B580" s="30" t="s">
        <v>521</v>
      </c>
      <c r="C580" s="31" t="s">
        <v>215</v>
      </c>
      <c r="D580" s="30" t="s">
        <v>216</v>
      </c>
      <c r="E580" s="12" t="s">
        <v>1322</v>
      </c>
    </row>
    <row r="581" spans="1:5" ht="63">
      <c r="A581" s="29">
        <v>573</v>
      </c>
      <c r="B581" s="30" t="s">
        <v>521</v>
      </c>
      <c r="C581" s="31" t="s">
        <v>217</v>
      </c>
      <c r="D581" s="30" t="s">
        <v>218</v>
      </c>
      <c r="E581" s="12" t="s">
        <v>1322</v>
      </c>
    </row>
    <row r="582" spans="1:5" ht="47.25">
      <c r="A582" s="29">
        <v>574</v>
      </c>
      <c r="B582" s="30" t="s">
        <v>521</v>
      </c>
      <c r="C582" s="31" t="s">
        <v>219</v>
      </c>
      <c r="D582" s="30" t="s">
        <v>220</v>
      </c>
      <c r="E582" s="12" t="s">
        <v>1322</v>
      </c>
    </row>
    <row r="583" spans="1:5" ht="78.75">
      <c r="A583" s="29">
        <v>575</v>
      </c>
      <c r="B583" s="30" t="s">
        <v>521</v>
      </c>
      <c r="C583" s="31" t="s">
        <v>128</v>
      </c>
      <c r="D583" s="30" t="s">
        <v>221</v>
      </c>
      <c r="E583" s="12" t="s">
        <v>1320</v>
      </c>
    </row>
    <row r="584" spans="1:5" ht="94.5">
      <c r="A584" s="29">
        <v>576</v>
      </c>
      <c r="B584" s="30" t="s">
        <v>521</v>
      </c>
      <c r="C584" s="31" t="s">
        <v>734</v>
      </c>
      <c r="D584" s="31" t="s">
        <v>735</v>
      </c>
      <c r="E584" s="12" t="s">
        <v>1320</v>
      </c>
    </row>
    <row r="585" spans="1:5" ht="94.5">
      <c r="A585" s="29">
        <v>577</v>
      </c>
      <c r="B585" s="30" t="s">
        <v>521</v>
      </c>
      <c r="C585" s="31" t="s">
        <v>736</v>
      </c>
      <c r="D585" s="31" t="s">
        <v>737</v>
      </c>
      <c r="E585" s="12" t="s">
        <v>1320</v>
      </c>
    </row>
    <row r="586" spans="1:5" ht="94.5">
      <c r="A586" s="29">
        <v>578</v>
      </c>
      <c r="B586" s="30" t="s">
        <v>521</v>
      </c>
      <c r="C586" s="31" t="s">
        <v>738</v>
      </c>
      <c r="D586" s="31" t="s">
        <v>739</v>
      </c>
      <c r="E586" s="12" t="s">
        <v>1320</v>
      </c>
    </row>
    <row r="587" spans="1:5" ht="63">
      <c r="A587" s="29">
        <v>579</v>
      </c>
      <c r="B587" s="30" t="s">
        <v>521</v>
      </c>
      <c r="C587" s="31" t="s">
        <v>740</v>
      </c>
      <c r="D587" s="30" t="s">
        <v>741</v>
      </c>
      <c r="E587" s="12" t="s">
        <v>1320</v>
      </c>
    </row>
    <row r="588" spans="1:5" ht="31.5">
      <c r="A588" s="29">
        <v>580</v>
      </c>
      <c r="B588" s="30" t="s">
        <v>521</v>
      </c>
      <c r="C588" s="31" t="s">
        <v>742</v>
      </c>
      <c r="D588" s="30" t="s">
        <v>743</v>
      </c>
      <c r="E588" s="12" t="s">
        <v>1320</v>
      </c>
    </row>
    <row r="589" spans="1:5" ht="31.5">
      <c r="A589" s="29">
        <v>581</v>
      </c>
      <c r="B589" s="30" t="s">
        <v>521</v>
      </c>
      <c r="C589" s="31" t="s">
        <v>744</v>
      </c>
      <c r="D589" s="30" t="s">
        <v>745</v>
      </c>
      <c r="E589" s="12" t="s">
        <v>1320</v>
      </c>
    </row>
    <row r="590" spans="1:5" ht="31.5">
      <c r="A590" s="29">
        <v>582</v>
      </c>
      <c r="B590" s="30" t="s">
        <v>521</v>
      </c>
      <c r="C590" s="31" t="s">
        <v>746</v>
      </c>
      <c r="D590" s="30" t="s">
        <v>747</v>
      </c>
      <c r="E590" s="12" t="s">
        <v>1320</v>
      </c>
    </row>
    <row r="591" spans="1:5" ht="47.25">
      <c r="A591" s="29">
        <v>583</v>
      </c>
      <c r="B591" s="30" t="s">
        <v>521</v>
      </c>
      <c r="C591" s="31" t="s">
        <v>748</v>
      </c>
      <c r="D591" s="30" t="s">
        <v>749</v>
      </c>
      <c r="E591" s="12" t="s">
        <v>1320</v>
      </c>
    </row>
    <row r="592" spans="1:5" ht="78.75">
      <c r="A592" s="5"/>
      <c r="B592" s="6" t="s">
        <v>750</v>
      </c>
      <c r="C592" s="6" t="s">
        <v>1316</v>
      </c>
      <c r="D592" s="6" t="s">
        <v>1173</v>
      </c>
      <c r="E592" s="164" t="s">
        <v>1324</v>
      </c>
    </row>
    <row r="593" spans="1:5" ht="78.75">
      <c r="A593" s="32">
        <v>584</v>
      </c>
      <c r="B593" s="33" t="s">
        <v>750</v>
      </c>
      <c r="C593" s="34" t="s">
        <v>751</v>
      </c>
      <c r="D593" s="33" t="s">
        <v>1275</v>
      </c>
      <c r="E593" s="12" t="s">
        <v>1322</v>
      </c>
    </row>
    <row r="594" spans="1:5" ht="31.5">
      <c r="A594" s="32">
        <v>585</v>
      </c>
      <c r="B594" s="33" t="s">
        <v>750</v>
      </c>
      <c r="C594" s="34" t="s">
        <v>752</v>
      </c>
      <c r="D594" s="33" t="s">
        <v>753</v>
      </c>
      <c r="E594" s="12" t="s">
        <v>1322</v>
      </c>
    </row>
    <row r="595" spans="1:5" ht="47.25">
      <c r="A595" s="32">
        <v>586</v>
      </c>
      <c r="B595" s="33" t="s">
        <v>750</v>
      </c>
      <c r="C595" s="34" t="s">
        <v>754</v>
      </c>
      <c r="D595" s="33" t="s">
        <v>1276</v>
      </c>
      <c r="E595" s="12" t="s">
        <v>1322</v>
      </c>
    </row>
    <row r="596" spans="1:5" ht="78.75">
      <c r="A596" s="32">
        <v>587</v>
      </c>
      <c r="B596" s="33" t="s">
        <v>750</v>
      </c>
      <c r="C596" s="34" t="s">
        <v>755</v>
      </c>
      <c r="D596" s="33" t="s">
        <v>1277</v>
      </c>
      <c r="E596" s="12" t="s">
        <v>1322</v>
      </c>
    </row>
    <row r="597" spans="1:5" ht="47.25">
      <c r="A597" s="32">
        <v>588</v>
      </c>
      <c r="B597" s="33" t="s">
        <v>750</v>
      </c>
      <c r="C597" s="34" t="s">
        <v>756</v>
      </c>
      <c r="D597" s="33" t="s">
        <v>1278</v>
      </c>
      <c r="E597" s="12" t="s">
        <v>1322</v>
      </c>
    </row>
    <row r="598" spans="1:5" ht="78.75">
      <c r="A598" s="32">
        <v>589</v>
      </c>
      <c r="B598" s="33" t="s">
        <v>750</v>
      </c>
      <c r="C598" s="34" t="s">
        <v>757</v>
      </c>
      <c r="D598" s="33" t="s">
        <v>758</v>
      </c>
      <c r="E598" s="12" t="s">
        <v>1322</v>
      </c>
    </row>
    <row r="599" spans="1:5" ht="94.5">
      <c r="A599" s="32">
        <v>590</v>
      </c>
      <c r="B599" s="33" t="s">
        <v>750</v>
      </c>
      <c r="C599" s="34" t="s">
        <v>759</v>
      </c>
      <c r="D599" s="33" t="s">
        <v>760</v>
      </c>
      <c r="E599" s="12" t="s">
        <v>1322</v>
      </c>
    </row>
    <row r="600" spans="1:5" ht="78.75">
      <c r="A600" s="32">
        <v>591</v>
      </c>
      <c r="B600" s="33" t="s">
        <v>750</v>
      </c>
      <c r="C600" s="34" t="s">
        <v>761</v>
      </c>
      <c r="D600" s="33" t="s">
        <v>1279</v>
      </c>
      <c r="E600" s="12" t="s">
        <v>1322</v>
      </c>
    </row>
    <row r="601" spans="1:5" ht="78.75">
      <c r="A601" s="32">
        <v>592</v>
      </c>
      <c r="B601" s="33" t="s">
        <v>750</v>
      </c>
      <c r="C601" s="34" t="s">
        <v>762</v>
      </c>
      <c r="D601" s="33" t="s">
        <v>763</v>
      </c>
      <c r="E601" s="12" t="s">
        <v>1322</v>
      </c>
    </row>
    <row r="602" spans="1:5" ht="78.75">
      <c r="A602" s="32">
        <v>593</v>
      </c>
      <c r="B602" s="33" t="s">
        <v>750</v>
      </c>
      <c r="C602" s="34" t="s">
        <v>764</v>
      </c>
      <c r="D602" s="33" t="s">
        <v>765</v>
      </c>
      <c r="E602" s="12" t="s">
        <v>1322</v>
      </c>
    </row>
    <row r="603" spans="1:5" ht="78.75">
      <c r="A603" s="32">
        <v>594</v>
      </c>
      <c r="B603" s="33" t="s">
        <v>750</v>
      </c>
      <c r="C603" s="34" t="s">
        <v>766</v>
      </c>
      <c r="D603" s="33" t="s">
        <v>767</v>
      </c>
      <c r="E603" s="12" t="s">
        <v>1321</v>
      </c>
    </row>
    <row r="604" spans="1:5" ht="94.5">
      <c r="A604" s="32">
        <v>595</v>
      </c>
      <c r="B604" s="33" t="s">
        <v>750</v>
      </c>
      <c r="C604" s="34" t="s">
        <v>768</v>
      </c>
      <c r="D604" s="33" t="s">
        <v>769</v>
      </c>
      <c r="E604" s="12" t="s">
        <v>1321</v>
      </c>
    </row>
    <row r="605" spans="1:5" ht="78.75">
      <c r="A605" s="32">
        <v>596</v>
      </c>
      <c r="B605" s="33" t="s">
        <v>750</v>
      </c>
      <c r="C605" s="34" t="s">
        <v>770</v>
      </c>
      <c r="D605" s="33" t="s">
        <v>1280</v>
      </c>
      <c r="E605" s="12" t="s">
        <v>1321</v>
      </c>
    </row>
    <row r="606" spans="1:5" ht="78.75">
      <c r="A606" s="32">
        <v>597</v>
      </c>
      <c r="B606" s="33" t="s">
        <v>750</v>
      </c>
      <c r="C606" s="34" t="s">
        <v>771</v>
      </c>
      <c r="D606" s="33" t="s">
        <v>772</v>
      </c>
      <c r="E606" s="12" t="s">
        <v>1321</v>
      </c>
    </row>
    <row r="607" spans="1:5" ht="63">
      <c r="A607" s="32">
        <v>598</v>
      </c>
      <c r="B607" s="33" t="s">
        <v>750</v>
      </c>
      <c r="C607" s="34" t="s">
        <v>773</v>
      </c>
      <c r="D607" s="33" t="s">
        <v>774</v>
      </c>
      <c r="E607" s="12" t="s">
        <v>1321</v>
      </c>
    </row>
    <row r="608" spans="1:5" ht="78.75">
      <c r="A608" s="32">
        <v>599</v>
      </c>
      <c r="B608" s="33" t="s">
        <v>750</v>
      </c>
      <c r="C608" s="34" t="s">
        <v>775</v>
      </c>
      <c r="D608" s="33" t="s">
        <v>776</v>
      </c>
      <c r="E608" s="12" t="s">
        <v>1321</v>
      </c>
    </row>
    <row r="609" spans="1:5" ht="31.5">
      <c r="A609" s="32">
        <v>600</v>
      </c>
      <c r="B609" s="33" t="s">
        <v>750</v>
      </c>
      <c r="C609" s="34" t="s">
        <v>777</v>
      </c>
      <c r="D609" s="33" t="s">
        <v>778</v>
      </c>
      <c r="E609" s="12" t="s">
        <v>1321</v>
      </c>
    </row>
    <row r="610" spans="1:5" ht="47.25">
      <c r="A610" s="32">
        <v>601</v>
      </c>
      <c r="B610" s="33" t="s">
        <v>750</v>
      </c>
      <c r="C610" s="34" t="s">
        <v>779</v>
      </c>
      <c r="D610" s="33" t="s">
        <v>780</v>
      </c>
      <c r="E610" s="12" t="s">
        <v>1321</v>
      </c>
    </row>
    <row r="611" spans="1:5" ht="31.5">
      <c r="A611" s="32">
        <v>602</v>
      </c>
      <c r="B611" s="33" t="s">
        <v>750</v>
      </c>
      <c r="C611" s="34" t="s">
        <v>781</v>
      </c>
      <c r="D611" s="33" t="s">
        <v>782</v>
      </c>
      <c r="E611" s="12" t="s">
        <v>1321</v>
      </c>
    </row>
    <row r="612" spans="1:5" ht="47.25">
      <c r="A612" s="32">
        <v>603</v>
      </c>
      <c r="B612" s="33" t="s">
        <v>750</v>
      </c>
      <c r="C612" s="34" t="s">
        <v>783</v>
      </c>
      <c r="D612" s="33" t="s">
        <v>784</v>
      </c>
      <c r="E612" s="12" t="s">
        <v>1321</v>
      </c>
    </row>
    <row r="613" spans="1:5" ht="47.25">
      <c r="A613" s="32">
        <v>604</v>
      </c>
      <c r="B613" s="33" t="s">
        <v>750</v>
      </c>
      <c r="C613" s="34" t="s">
        <v>785</v>
      </c>
      <c r="D613" s="33" t="s">
        <v>786</v>
      </c>
      <c r="E613" s="12" t="s">
        <v>1321</v>
      </c>
    </row>
    <row r="614" spans="1:5" ht="63">
      <c r="A614" s="32">
        <v>605</v>
      </c>
      <c r="B614" s="33" t="s">
        <v>750</v>
      </c>
      <c r="C614" s="34" t="s">
        <v>787</v>
      </c>
      <c r="D614" s="33" t="s">
        <v>1281</v>
      </c>
      <c r="E614" s="12" t="s">
        <v>1321</v>
      </c>
    </row>
    <row r="615" spans="1:5" ht="78.75">
      <c r="A615" s="32">
        <v>606</v>
      </c>
      <c r="B615" s="33" t="s">
        <v>750</v>
      </c>
      <c r="C615" s="34" t="s">
        <v>788</v>
      </c>
      <c r="D615" s="33" t="s">
        <v>1282</v>
      </c>
      <c r="E615" s="12" t="s">
        <v>1321</v>
      </c>
    </row>
    <row r="616" spans="1:5" ht="110.25">
      <c r="A616" s="32">
        <v>607</v>
      </c>
      <c r="B616" s="33" t="s">
        <v>750</v>
      </c>
      <c r="C616" s="34" t="s">
        <v>789</v>
      </c>
      <c r="D616" s="34" t="s">
        <v>790</v>
      </c>
      <c r="E616" s="12" t="s">
        <v>1321</v>
      </c>
    </row>
    <row r="617" spans="1:5" ht="78.75">
      <c r="A617" s="32">
        <v>608</v>
      </c>
      <c r="B617" s="33" t="s">
        <v>750</v>
      </c>
      <c r="C617" s="34" t="s">
        <v>791</v>
      </c>
      <c r="D617" s="34" t="s">
        <v>792</v>
      </c>
      <c r="E617" s="12" t="s">
        <v>1322</v>
      </c>
    </row>
    <row r="618" spans="1:5" ht="47.25">
      <c r="A618" s="32">
        <v>609</v>
      </c>
      <c r="B618" s="33" t="s">
        <v>750</v>
      </c>
      <c r="C618" s="34" t="s">
        <v>793</v>
      </c>
      <c r="D618" s="33" t="s">
        <v>794</v>
      </c>
      <c r="E618" s="12" t="s">
        <v>1322</v>
      </c>
    </row>
    <row r="619" spans="1:5" ht="78.75">
      <c r="A619" s="32">
        <v>610</v>
      </c>
      <c r="B619" s="33" t="s">
        <v>750</v>
      </c>
      <c r="C619" s="34" t="s">
        <v>795</v>
      </c>
      <c r="D619" s="34" t="s">
        <v>796</v>
      </c>
      <c r="E619" s="12" t="s">
        <v>1322</v>
      </c>
    </row>
    <row r="620" spans="1:5" ht="94.5">
      <c r="A620" s="32">
        <v>611</v>
      </c>
      <c r="B620" s="33" t="s">
        <v>750</v>
      </c>
      <c r="C620" s="34" t="s">
        <v>404</v>
      </c>
      <c r="D620" s="34" t="s">
        <v>405</v>
      </c>
      <c r="E620" s="12" t="s">
        <v>1322</v>
      </c>
    </row>
    <row r="621" spans="1:5" ht="31.5">
      <c r="A621" s="32">
        <v>612</v>
      </c>
      <c r="B621" s="33" t="s">
        <v>750</v>
      </c>
      <c r="C621" s="34" t="s">
        <v>406</v>
      </c>
      <c r="D621" s="33" t="s">
        <v>407</v>
      </c>
      <c r="E621" s="12" t="s">
        <v>1322</v>
      </c>
    </row>
    <row r="622" spans="1:5" ht="31.5">
      <c r="A622" s="32">
        <v>613</v>
      </c>
      <c r="B622" s="33" t="s">
        <v>750</v>
      </c>
      <c r="C622" s="34" t="s">
        <v>408</v>
      </c>
      <c r="D622" s="33" t="s">
        <v>409</v>
      </c>
      <c r="E622" s="12" t="s">
        <v>1322</v>
      </c>
    </row>
    <row r="623" spans="1:5" ht="63">
      <c r="A623" s="32">
        <v>614</v>
      </c>
      <c r="B623" s="33" t="s">
        <v>750</v>
      </c>
      <c r="C623" s="34" t="s">
        <v>410</v>
      </c>
      <c r="D623" s="33" t="s">
        <v>1237</v>
      </c>
      <c r="E623" s="12" t="s">
        <v>1322</v>
      </c>
    </row>
    <row r="624" spans="1:5" ht="31.5">
      <c r="A624" s="32">
        <v>615</v>
      </c>
      <c r="B624" s="33" t="s">
        <v>750</v>
      </c>
      <c r="C624" s="34" t="s">
        <v>411</v>
      </c>
      <c r="D624" s="34" t="s">
        <v>412</v>
      </c>
      <c r="E624" s="12" t="s">
        <v>1322</v>
      </c>
    </row>
    <row r="625" spans="1:5" ht="63">
      <c r="A625" s="32">
        <v>616</v>
      </c>
      <c r="B625" s="33" t="s">
        <v>750</v>
      </c>
      <c r="C625" s="34" t="s">
        <v>413</v>
      </c>
      <c r="D625" s="33" t="s">
        <v>1238</v>
      </c>
      <c r="E625" s="12" t="s">
        <v>1322</v>
      </c>
    </row>
    <row r="626" spans="1:5" ht="31.5">
      <c r="A626" s="32">
        <v>617</v>
      </c>
      <c r="B626" s="33" t="s">
        <v>750</v>
      </c>
      <c r="C626" s="34" t="s">
        <v>414</v>
      </c>
      <c r="D626" s="33" t="s">
        <v>415</v>
      </c>
      <c r="E626" s="12" t="s">
        <v>1322</v>
      </c>
    </row>
    <row r="627" spans="1:5" ht="47.25">
      <c r="A627" s="32">
        <v>618</v>
      </c>
      <c r="B627" s="33" t="s">
        <v>750</v>
      </c>
      <c r="C627" s="34" t="s">
        <v>416</v>
      </c>
      <c r="D627" s="33" t="s">
        <v>417</v>
      </c>
      <c r="E627" s="12" t="s">
        <v>1322</v>
      </c>
    </row>
    <row r="628" spans="1:5" ht="94.5">
      <c r="A628" s="32">
        <v>619</v>
      </c>
      <c r="B628" s="33" t="s">
        <v>750</v>
      </c>
      <c r="C628" s="34" t="s">
        <v>418</v>
      </c>
      <c r="D628" s="33" t="s">
        <v>1239</v>
      </c>
      <c r="E628" s="12" t="s">
        <v>1322</v>
      </c>
    </row>
    <row r="629" spans="1:5" ht="47.25">
      <c r="A629" s="32">
        <v>620</v>
      </c>
      <c r="B629" s="33" t="s">
        <v>750</v>
      </c>
      <c r="C629" s="34" t="s">
        <v>419</v>
      </c>
      <c r="D629" s="33" t="s">
        <v>420</v>
      </c>
      <c r="E629" s="12" t="s">
        <v>1322</v>
      </c>
    </row>
    <row r="630" spans="1:5" ht="63">
      <c r="A630" s="32">
        <v>621</v>
      </c>
      <c r="B630" s="33" t="s">
        <v>750</v>
      </c>
      <c r="C630" s="34" t="s">
        <v>797</v>
      </c>
      <c r="D630" s="33" t="s">
        <v>798</v>
      </c>
      <c r="E630" s="12" t="s">
        <v>1322</v>
      </c>
    </row>
    <row r="631" spans="1:5" ht="31.5">
      <c r="A631" s="32">
        <v>622</v>
      </c>
      <c r="B631" s="33" t="s">
        <v>750</v>
      </c>
      <c r="C631" s="34" t="s">
        <v>799</v>
      </c>
      <c r="D631" s="33" t="s">
        <v>800</v>
      </c>
      <c r="E631" s="12" t="s">
        <v>1322</v>
      </c>
    </row>
    <row r="632" spans="1:5" ht="63">
      <c r="A632" s="32">
        <v>623</v>
      </c>
      <c r="B632" s="33" t="s">
        <v>750</v>
      </c>
      <c r="C632" s="34" t="s">
        <v>801</v>
      </c>
      <c r="D632" s="33" t="s">
        <v>802</v>
      </c>
      <c r="E632" s="12" t="s">
        <v>1322</v>
      </c>
    </row>
    <row r="633" spans="1:5" ht="63">
      <c r="A633" s="32">
        <v>624</v>
      </c>
      <c r="B633" s="33" t="s">
        <v>750</v>
      </c>
      <c r="C633" s="34" t="s">
        <v>803</v>
      </c>
      <c r="D633" s="34" t="s">
        <v>804</v>
      </c>
      <c r="E633" s="12" t="s">
        <v>1322</v>
      </c>
    </row>
    <row r="634" spans="1:5" ht="63">
      <c r="A634" s="32">
        <v>625</v>
      </c>
      <c r="B634" s="33" t="s">
        <v>750</v>
      </c>
      <c r="C634" s="34" t="s">
        <v>805</v>
      </c>
      <c r="D634" s="33" t="s">
        <v>1283</v>
      </c>
      <c r="E634" s="12" t="s">
        <v>1322</v>
      </c>
    </row>
    <row r="635" spans="1:5" ht="63">
      <c r="A635" s="32">
        <v>626</v>
      </c>
      <c r="B635" s="33" t="s">
        <v>750</v>
      </c>
      <c r="C635" s="34" t="s">
        <v>806</v>
      </c>
      <c r="D635" s="33" t="s">
        <v>1284</v>
      </c>
      <c r="E635" s="12" t="s">
        <v>1321</v>
      </c>
    </row>
    <row r="636" spans="1:5" ht="47.25">
      <c r="A636" s="32">
        <v>627</v>
      </c>
      <c r="B636" s="33" t="s">
        <v>750</v>
      </c>
      <c r="C636" s="34" t="s">
        <v>29</v>
      </c>
      <c r="D636" s="33" t="s">
        <v>1285</v>
      </c>
      <c r="E636" s="12" t="s">
        <v>1321</v>
      </c>
    </row>
    <row r="637" spans="1:5" ht="47.25">
      <c r="A637" s="32">
        <v>628</v>
      </c>
      <c r="B637" s="33" t="s">
        <v>750</v>
      </c>
      <c r="C637" s="34" t="s">
        <v>807</v>
      </c>
      <c r="D637" s="33" t="s">
        <v>1286</v>
      </c>
      <c r="E637" s="12" t="s">
        <v>1321</v>
      </c>
    </row>
    <row r="638" spans="1:5" ht="31.5">
      <c r="A638" s="32">
        <v>629</v>
      </c>
      <c r="B638" s="33" t="s">
        <v>750</v>
      </c>
      <c r="C638" s="34" t="s">
        <v>808</v>
      </c>
      <c r="D638" s="33" t="s">
        <v>809</v>
      </c>
      <c r="E638" s="12" t="s">
        <v>1321</v>
      </c>
    </row>
    <row r="639" spans="1:5" ht="47.25">
      <c r="A639" s="32">
        <v>630</v>
      </c>
      <c r="B639" s="33" t="s">
        <v>750</v>
      </c>
      <c r="C639" s="34" t="s">
        <v>810</v>
      </c>
      <c r="D639" s="33" t="s">
        <v>811</v>
      </c>
      <c r="E639" s="12" t="s">
        <v>1321</v>
      </c>
    </row>
    <row r="640" spans="1:5" ht="63">
      <c r="A640" s="32">
        <v>631</v>
      </c>
      <c r="B640" s="33" t="s">
        <v>750</v>
      </c>
      <c r="C640" s="34" t="s">
        <v>812</v>
      </c>
      <c r="D640" s="33" t="s">
        <v>1287</v>
      </c>
      <c r="E640" s="12" t="s">
        <v>1321</v>
      </c>
    </row>
    <row r="641" spans="1:5" ht="47.25">
      <c r="A641" s="32">
        <v>632</v>
      </c>
      <c r="B641" s="33" t="s">
        <v>750</v>
      </c>
      <c r="C641" s="34" t="s">
        <v>813</v>
      </c>
      <c r="D641" s="33" t="s">
        <v>1288</v>
      </c>
      <c r="E641" s="12" t="s">
        <v>1321</v>
      </c>
    </row>
    <row r="642" spans="1:5" ht="31.5">
      <c r="A642" s="32">
        <v>633</v>
      </c>
      <c r="B642" s="33" t="s">
        <v>750</v>
      </c>
      <c r="C642" s="34" t="s">
        <v>814</v>
      </c>
      <c r="D642" s="33" t="s">
        <v>815</v>
      </c>
      <c r="E642" s="12" t="s">
        <v>1321</v>
      </c>
    </row>
    <row r="643" spans="1:5" ht="63">
      <c r="A643" s="32">
        <v>634</v>
      </c>
      <c r="B643" s="33" t="s">
        <v>750</v>
      </c>
      <c r="C643" s="34" t="s">
        <v>816</v>
      </c>
      <c r="D643" s="33" t="s">
        <v>817</v>
      </c>
      <c r="E643" s="12" t="s">
        <v>1321</v>
      </c>
    </row>
    <row r="644" spans="1:5" ht="94.5">
      <c r="A644" s="32">
        <v>635</v>
      </c>
      <c r="B644" s="33" t="s">
        <v>750</v>
      </c>
      <c r="C644" s="34" t="s">
        <v>818</v>
      </c>
      <c r="D644" s="34" t="s">
        <v>819</v>
      </c>
      <c r="E644" s="12" t="s">
        <v>1322</v>
      </c>
    </row>
    <row r="645" spans="1:5" ht="47.25">
      <c r="A645" s="32">
        <v>636</v>
      </c>
      <c r="B645" s="33" t="s">
        <v>750</v>
      </c>
      <c r="C645" s="34" t="s">
        <v>820</v>
      </c>
      <c r="D645" s="33" t="s">
        <v>821</v>
      </c>
      <c r="E645" s="12" t="s">
        <v>1322</v>
      </c>
    </row>
    <row r="646" spans="1:5" ht="31.5">
      <c r="A646" s="32">
        <v>637</v>
      </c>
      <c r="B646" s="33" t="s">
        <v>750</v>
      </c>
      <c r="C646" s="34" t="s">
        <v>822</v>
      </c>
      <c r="D646" s="33" t="s">
        <v>823</v>
      </c>
      <c r="E646" s="12" t="s">
        <v>1322</v>
      </c>
    </row>
    <row r="647" spans="1:5" ht="31.5">
      <c r="A647" s="32">
        <v>638</v>
      </c>
      <c r="B647" s="33" t="s">
        <v>750</v>
      </c>
      <c r="C647" s="34" t="s">
        <v>30</v>
      </c>
      <c r="D647" s="34" t="s">
        <v>824</v>
      </c>
      <c r="E647" s="12" t="s">
        <v>1322</v>
      </c>
    </row>
    <row r="648" spans="1:5" ht="31.5">
      <c r="A648" s="32">
        <v>639</v>
      </c>
      <c r="B648" s="33" t="s">
        <v>750</v>
      </c>
      <c r="C648" s="34" t="s">
        <v>825</v>
      </c>
      <c r="D648" s="34" t="s">
        <v>826</v>
      </c>
      <c r="E648" s="12" t="s">
        <v>1322</v>
      </c>
    </row>
    <row r="649" spans="1:5" ht="47.25">
      <c r="A649" s="32">
        <v>640</v>
      </c>
      <c r="B649" s="33" t="s">
        <v>750</v>
      </c>
      <c r="C649" s="34" t="s">
        <v>827</v>
      </c>
      <c r="D649" s="33" t="s">
        <v>828</v>
      </c>
      <c r="E649" s="12" t="s">
        <v>1322</v>
      </c>
    </row>
    <row r="650" spans="1:5" ht="47.25">
      <c r="A650" s="32">
        <v>641</v>
      </c>
      <c r="B650" s="33" t="s">
        <v>750</v>
      </c>
      <c r="C650" s="34" t="s">
        <v>829</v>
      </c>
      <c r="D650" s="33" t="s">
        <v>830</v>
      </c>
      <c r="E650" s="12" t="s">
        <v>1322</v>
      </c>
    </row>
    <row r="651" spans="1:5" ht="63">
      <c r="A651" s="32">
        <v>642</v>
      </c>
      <c r="B651" s="33" t="s">
        <v>750</v>
      </c>
      <c r="C651" s="34" t="s">
        <v>831</v>
      </c>
      <c r="D651" s="33" t="s">
        <v>1289</v>
      </c>
      <c r="E651" s="12" t="s">
        <v>1322</v>
      </c>
    </row>
    <row r="652" spans="1:5" ht="63">
      <c r="A652" s="32">
        <v>643</v>
      </c>
      <c r="B652" s="33" t="s">
        <v>750</v>
      </c>
      <c r="C652" s="34" t="s">
        <v>832</v>
      </c>
      <c r="D652" s="33" t="s">
        <v>833</v>
      </c>
      <c r="E652" s="12" t="s">
        <v>1322</v>
      </c>
    </row>
    <row r="653" spans="1:5" ht="63">
      <c r="A653" s="32">
        <v>644</v>
      </c>
      <c r="B653" s="33" t="s">
        <v>750</v>
      </c>
      <c r="C653" s="34" t="s">
        <v>834</v>
      </c>
      <c r="D653" s="33" t="s">
        <v>835</v>
      </c>
      <c r="E653" s="12" t="s">
        <v>1322</v>
      </c>
    </row>
    <row r="654" spans="1:5" ht="94.5">
      <c r="A654" s="32">
        <v>645</v>
      </c>
      <c r="B654" s="33" t="s">
        <v>750</v>
      </c>
      <c r="C654" s="34" t="s">
        <v>836</v>
      </c>
      <c r="D654" s="33" t="s">
        <v>1290</v>
      </c>
      <c r="E654" s="12" t="s">
        <v>1320</v>
      </c>
    </row>
    <row r="655" spans="1:5" ht="47.25">
      <c r="A655" s="32">
        <v>646</v>
      </c>
      <c r="B655" s="33" t="s">
        <v>750</v>
      </c>
      <c r="C655" s="34" t="s">
        <v>837</v>
      </c>
      <c r="D655" s="33" t="s">
        <v>838</v>
      </c>
      <c r="E655" s="12" t="s">
        <v>1320</v>
      </c>
    </row>
    <row r="656" spans="1:5" ht="31.5">
      <c r="A656" s="32">
        <v>647</v>
      </c>
      <c r="B656" s="33" t="s">
        <v>750</v>
      </c>
      <c r="C656" s="34" t="s">
        <v>839</v>
      </c>
      <c r="D656" s="33" t="s">
        <v>840</v>
      </c>
      <c r="E656" s="12" t="s">
        <v>1320</v>
      </c>
    </row>
    <row r="657" spans="1:5" ht="47.25">
      <c r="A657" s="32">
        <v>648</v>
      </c>
      <c r="B657" s="33" t="s">
        <v>750</v>
      </c>
      <c r="C657" s="34" t="s">
        <v>841</v>
      </c>
      <c r="D657" s="33" t="s">
        <v>842</v>
      </c>
      <c r="E657" s="12" t="s">
        <v>1320</v>
      </c>
    </row>
    <row r="658" spans="1:5" ht="47.25">
      <c r="A658" s="32">
        <v>649</v>
      </c>
      <c r="B658" s="33" t="s">
        <v>750</v>
      </c>
      <c r="C658" s="34" t="s">
        <v>843</v>
      </c>
      <c r="D658" s="33" t="s">
        <v>844</v>
      </c>
      <c r="E658" s="12" t="s">
        <v>1320</v>
      </c>
    </row>
    <row r="659" spans="1:5" ht="78.75">
      <c r="A659" s="32">
        <v>650</v>
      </c>
      <c r="B659" s="33" t="s">
        <v>750</v>
      </c>
      <c r="C659" s="34" t="s">
        <v>845</v>
      </c>
      <c r="D659" s="33" t="s">
        <v>846</v>
      </c>
      <c r="E659" s="12" t="s">
        <v>1320</v>
      </c>
    </row>
    <row r="660" spans="1:5" ht="94.5">
      <c r="A660" s="5"/>
      <c r="B660" s="6" t="s">
        <v>847</v>
      </c>
      <c r="C660" s="6" t="s">
        <v>1316</v>
      </c>
      <c r="D660" s="6" t="s">
        <v>1174</v>
      </c>
      <c r="E660" s="164" t="s">
        <v>1324</v>
      </c>
    </row>
    <row r="661" spans="1:5" ht="63">
      <c r="A661" s="35">
        <v>651</v>
      </c>
      <c r="B661" s="36" t="s">
        <v>847</v>
      </c>
      <c r="C661" s="37" t="s">
        <v>848</v>
      </c>
      <c r="D661" s="37" t="s">
        <v>849</v>
      </c>
      <c r="E661" s="12" t="s">
        <v>1322</v>
      </c>
    </row>
    <row r="662" spans="1:5" ht="31.5">
      <c r="A662" s="35">
        <v>652</v>
      </c>
      <c r="B662" s="36" t="s">
        <v>847</v>
      </c>
      <c r="C662" s="37" t="s">
        <v>337</v>
      </c>
      <c r="D662" s="36" t="s">
        <v>850</v>
      </c>
      <c r="E662" s="12" t="s">
        <v>1322</v>
      </c>
    </row>
    <row r="663" spans="1:5" ht="31.5">
      <c r="A663" s="35">
        <v>653</v>
      </c>
      <c r="B663" s="36" t="s">
        <v>847</v>
      </c>
      <c r="C663" s="37" t="s">
        <v>339</v>
      </c>
      <c r="D663" s="36" t="s">
        <v>851</v>
      </c>
      <c r="E663" s="12" t="s">
        <v>1322</v>
      </c>
    </row>
    <row r="664" spans="1:5" ht="31.5">
      <c r="A664" s="35">
        <v>654</v>
      </c>
      <c r="B664" s="36" t="s">
        <v>847</v>
      </c>
      <c r="C664" s="37" t="s">
        <v>852</v>
      </c>
      <c r="D664" s="36" t="s">
        <v>853</v>
      </c>
      <c r="E664" s="12" t="s">
        <v>1322</v>
      </c>
    </row>
    <row r="665" spans="1:5" ht="47.25">
      <c r="A665" s="35">
        <v>655</v>
      </c>
      <c r="B665" s="36" t="s">
        <v>847</v>
      </c>
      <c r="C665" s="37" t="s">
        <v>340</v>
      </c>
      <c r="D665" s="36" t="s">
        <v>854</v>
      </c>
      <c r="E665" s="12" t="s">
        <v>1322</v>
      </c>
    </row>
    <row r="666" spans="1:5" ht="47.25">
      <c r="A666" s="35">
        <v>656</v>
      </c>
      <c r="B666" s="36" t="s">
        <v>847</v>
      </c>
      <c r="C666" s="37" t="s">
        <v>855</v>
      </c>
      <c r="D666" s="37" t="s">
        <v>856</v>
      </c>
      <c r="E666" s="12" t="s">
        <v>1322</v>
      </c>
    </row>
    <row r="667" spans="1:5" ht="63">
      <c r="A667" s="35">
        <v>657</v>
      </c>
      <c r="B667" s="36" t="s">
        <v>847</v>
      </c>
      <c r="C667" s="37" t="s">
        <v>857</v>
      </c>
      <c r="D667" s="36" t="s">
        <v>858</v>
      </c>
      <c r="E667" s="12" t="s">
        <v>1322</v>
      </c>
    </row>
    <row r="668" spans="1:5" ht="47.25">
      <c r="A668" s="35">
        <v>658</v>
      </c>
      <c r="B668" s="36" t="s">
        <v>847</v>
      </c>
      <c r="C668" s="37" t="s">
        <v>859</v>
      </c>
      <c r="D668" s="36" t="s">
        <v>860</v>
      </c>
      <c r="E668" s="12" t="s">
        <v>1322</v>
      </c>
    </row>
    <row r="669" spans="1:5" ht="63">
      <c r="A669" s="35">
        <v>659</v>
      </c>
      <c r="B669" s="36" t="s">
        <v>847</v>
      </c>
      <c r="C669" s="37" t="s">
        <v>861</v>
      </c>
      <c r="D669" s="36" t="s">
        <v>862</v>
      </c>
      <c r="E669" s="12" t="s">
        <v>1322</v>
      </c>
    </row>
    <row r="670" spans="1:5" ht="78.75">
      <c r="A670" s="35">
        <v>660</v>
      </c>
      <c r="B670" s="36" t="s">
        <v>847</v>
      </c>
      <c r="C670" s="37" t="s">
        <v>863</v>
      </c>
      <c r="D670" s="36" t="s">
        <v>864</v>
      </c>
      <c r="E670" s="12" t="s">
        <v>1320</v>
      </c>
    </row>
    <row r="671" spans="1:5" ht="63">
      <c r="A671" s="35">
        <v>661</v>
      </c>
      <c r="B671" s="36" t="s">
        <v>847</v>
      </c>
      <c r="C671" s="37" t="s">
        <v>865</v>
      </c>
      <c r="D671" s="36" t="s">
        <v>1291</v>
      </c>
      <c r="E671" s="12" t="s">
        <v>1320</v>
      </c>
    </row>
    <row r="672" spans="1:5" ht="31.5">
      <c r="A672" s="35">
        <v>662</v>
      </c>
      <c r="B672" s="36" t="s">
        <v>847</v>
      </c>
      <c r="C672" s="37" t="s">
        <v>866</v>
      </c>
      <c r="D672" s="36" t="s">
        <v>867</v>
      </c>
      <c r="E672" s="12" t="s">
        <v>1320</v>
      </c>
    </row>
    <row r="673" spans="1:5" ht="31.5">
      <c r="A673" s="35">
        <v>663</v>
      </c>
      <c r="B673" s="36" t="s">
        <v>847</v>
      </c>
      <c r="C673" s="37" t="s">
        <v>523</v>
      </c>
      <c r="D673" s="36" t="s">
        <v>524</v>
      </c>
      <c r="E673" s="12" t="s">
        <v>1320</v>
      </c>
    </row>
    <row r="674" spans="1:5" ht="63">
      <c r="A674" s="35">
        <v>664</v>
      </c>
      <c r="B674" s="36" t="s">
        <v>847</v>
      </c>
      <c r="C674" s="37" t="s">
        <v>868</v>
      </c>
      <c r="D674" s="36" t="s">
        <v>1292</v>
      </c>
      <c r="E674" s="12" t="s">
        <v>1320</v>
      </c>
    </row>
    <row r="675" spans="1:5" ht="110.25">
      <c r="A675" s="35">
        <v>665</v>
      </c>
      <c r="B675" s="36" t="s">
        <v>847</v>
      </c>
      <c r="C675" s="37" t="s">
        <v>869</v>
      </c>
      <c r="D675" s="36" t="s">
        <v>1293</v>
      </c>
      <c r="E675" s="12" t="s">
        <v>1320</v>
      </c>
    </row>
    <row r="676" spans="1:5" ht="63">
      <c r="A676" s="35">
        <v>666</v>
      </c>
      <c r="B676" s="36" t="s">
        <v>847</v>
      </c>
      <c r="C676" s="37" t="s">
        <v>870</v>
      </c>
      <c r="D676" s="37" t="s">
        <v>871</v>
      </c>
      <c r="E676" s="12" t="s">
        <v>1320</v>
      </c>
    </row>
    <row r="677" spans="1:5" ht="78.75">
      <c r="A677" s="35">
        <v>667</v>
      </c>
      <c r="B677" s="36" t="s">
        <v>847</v>
      </c>
      <c r="C677" s="37" t="s">
        <v>872</v>
      </c>
      <c r="D677" s="36" t="s">
        <v>1294</v>
      </c>
      <c r="E677" s="12" t="s">
        <v>1320</v>
      </c>
    </row>
    <row r="678" spans="1:5" ht="47.25">
      <c r="A678" s="35">
        <v>668</v>
      </c>
      <c r="B678" s="36" t="s">
        <v>847</v>
      </c>
      <c r="C678" s="37" t="s">
        <v>873</v>
      </c>
      <c r="D678" s="36" t="s">
        <v>1295</v>
      </c>
      <c r="E678" s="12" t="s">
        <v>1320</v>
      </c>
    </row>
    <row r="679" spans="1:5" ht="47.25">
      <c r="A679" s="35">
        <v>669</v>
      </c>
      <c r="B679" s="36" t="s">
        <v>847</v>
      </c>
      <c r="C679" s="37" t="s">
        <v>874</v>
      </c>
      <c r="D679" s="36" t="s">
        <v>875</v>
      </c>
      <c r="E679" s="12" t="s">
        <v>1322</v>
      </c>
    </row>
    <row r="680" spans="1:5" ht="63">
      <c r="A680" s="35">
        <v>670</v>
      </c>
      <c r="B680" s="36" t="s">
        <v>847</v>
      </c>
      <c r="C680" s="37" t="s">
        <v>876</v>
      </c>
      <c r="D680" s="36" t="s">
        <v>877</v>
      </c>
      <c r="E680" s="12" t="s">
        <v>1322</v>
      </c>
    </row>
    <row r="681" spans="1:5" ht="63">
      <c r="A681" s="35">
        <v>671</v>
      </c>
      <c r="B681" s="36" t="s">
        <v>847</v>
      </c>
      <c r="C681" s="37" t="s">
        <v>801</v>
      </c>
      <c r="D681" s="36" t="s">
        <v>802</v>
      </c>
      <c r="E681" s="12" t="s">
        <v>1322</v>
      </c>
    </row>
    <row r="682" spans="1:5" ht="78.75">
      <c r="A682" s="35">
        <v>672</v>
      </c>
      <c r="B682" s="36" t="s">
        <v>847</v>
      </c>
      <c r="C682" s="37" t="s">
        <v>878</v>
      </c>
      <c r="D682" s="37" t="s">
        <v>879</v>
      </c>
      <c r="E682" s="12" t="s">
        <v>1322</v>
      </c>
    </row>
    <row r="683" spans="1:5" ht="63">
      <c r="A683" s="35">
        <v>673</v>
      </c>
      <c r="B683" s="36" t="s">
        <v>847</v>
      </c>
      <c r="C683" s="37" t="s">
        <v>880</v>
      </c>
      <c r="D683" s="36" t="s">
        <v>881</v>
      </c>
      <c r="E683" s="12" t="s">
        <v>1322</v>
      </c>
    </row>
    <row r="684" spans="1:5" ht="47.25">
      <c r="A684" s="35">
        <v>674</v>
      </c>
      <c r="B684" s="36" t="s">
        <v>847</v>
      </c>
      <c r="C684" s="37" t="s">
        <v>882</v>
      </c>
      <c r="D684" s="36" t="s">
        <v>883</v>
      </c>
      <c r="E684" s="12" t="s">
        <v>1322</v>
      </c>
    </row>
    <row r="685" spans="1:5" ht="63">
      <c r="A685" s="35">
        <v>675</v>
      </c>
      <c r="B685" s="36" t="s">
        <v>847</v>
      </c>
      <c r="C685" s="37" t="s">
        <v>884</v>
      </c>
      <c r="D685" s="36" t="s">
        <v>885</v>
      </c>
      <c r="E685" s="12" t="s">
        <v>1322</v>
      </c>
    </row>
    <row r="686" spans="1:5" ht="63">
      <c r="A686" s="35">
        <v>676</v>
      </c>
      <c r="B686" s="36" t="s">
        <v>847</v>
      </c>
      <c r="C686" s="37" t="s">
        <v>886</v>
      </c>
      <c r="D686" s="36" t="s">
        <v>887</v>
      </c>
      <c r="E686" s="12" t="s">
        <v>1322</v>
      </c>
    </row>
    <row r="687" spans="1:5" ht="47.25">
      <c r="A687" s="35">
        <v>677</v>
      </c>
      <c r="B687" s="36" t="s">
        <v>847</v>
      </c>
      <c r="C687" s="37" t="s">
        <v>888</v>
      </c>
      <c r="D687" s="36" t="s">
        <v>889</v>
      </c>
      <c r="E687" s="12" t="s">
        <v>1322</v>
      </c>
    </row>
    <row r="688" spans="1:5" ht="78.75">
      <c r="A688" s="35">
        <v>678</v>
      </c>
      <c r="B688" s="36" t="s">
        <v>847</v>
      </c>
      <c r="C688" s="37" t="s">
        <v>890</v>
      </c>
      <c r="D688" s="37" t="s">
        <v>891</v>
      </c>
      <c r="E688" s="12" t="s">
        <v>1322</v>
      </c>
    </row>
    <row r="689" spans="1:5">
      <c r="A689" s="35">
        <v>679</v>
      </c>
      <c r="B689" s="36" t="s">
        <v>847</v>
      </c>
      <c r="C689" s="37" t="s">
        <v>892</v>
      </c>
      <c r="D689" s="36" t="s">
        <v>893</v>
      </c>
      <c r="E689" s="12" t="s">
        <v>1322</v>
      </c>
    </row>
    <row r="690" spans="1:5" ht="47.25">
      <c r="A690" s="35">
        <v>680</v>
      </c>
      <c r="B690" s="36" t="s">
        <v>847</v>
      </c>
      <c r="C690" s="37" t="s">
        <v>894</v>
      </c>
      <c r="D690" s="36" t="s">
        <v>1296</v>
      </c>
      <c r="E690" s="12" t="s">
        <v>1322</v>
      </c>
    </row>
    <row r="691" spans="1:5" ht="47.25">
      <c r="A691" s="35">
        <v>681</v>
      </c>
      <c r="B691" s="36" t="s">
        <v>847</v>
      </c>
      <c r="C691" s="37" t="s">
        <v>895</v>
      </c>
      <c r="D691" s="37" t="s">
        <v>896</v>
      </c>
      <c r="E691" s="12" t="s">
        <v>1322</v>
      </c>
    </row>
    <row r="692" spans="1:5" ht="63">
      <c r="A692" s="35">
        <v>682</v>
      </c>
      <c r="B692" s="36" t="s">
        <v>847</v>
      </c>
      <c r="C692" s="37" t="s">
        <v>897</v>
      </c>
      <c r="D692" s="37" t="s">
        <v>898</v>
      </c>
      <c r="E692" s="12" t="s">
        <v>1321</v>
      </c>
    </row>
    <row r="693" spans="1:5" ht="63">
      <c r="A693" s="35">
        <v>683</v>
      </c>
      <c r="B693" s="36" t="s">
        <v>847</v>
      </c>
      <c r="C693" s="37" t="s">
        <v>899</v>
      </c>
      <c r="D693" s="37" t="s">
        <v>900</v>
      </c>
      <c r="E693" s="12" t="s">
        <v>1321</v>
      </c>
    </row>
    <row r="694" spans="1:5" ht="47.25">
      <c r="A694" s="35">
        <v>684</v>
      </c>
      <c r="B694" s="36" t="s">
        <v>847</v>
      </c>
      <c r="C694" s="37" t="s">
        <v>901</v>
      </c>
      <c r="D694" s="37" t="s">
        <v>902</v>
      </c>
      <c r="E694" s="12" t="s">
        <v>1321</v>
      </c>
    </row>
    <row r="695" spans="1:5" ht="63">
      <c r="A695" s="35">
        <v>685</v>
      </c>
      <c r="B695" s="36" t="s">
        <v>847</v>
      </c>
      <c r="C695" s="37" t="s">
        <v>903</v>
      </c>
      <c r="D695" s="36" t="s">
        <v>904</v>
      </c>
      <c r="E695" s="12" t="s">
        <v>1321</v>
      </c>
    </row>
    <row r="696" spans="1:5" ht="47.25">
      <c r="A696" s="35">
        <v>686</v>
      </c>
      <c r="B696" s="36" t="s">
        <v>847</v>
      </c>
      <c r="C696" s="37" t="s">
        <v>905</v>
      </c>
      <c r="D696" s="36" t="s">
        <v>1297</v>
      </c>
      <c r="E696" s="12" t="s">
        <v>1321</v>
      </c>
    </row>
    <row r="697" spans="1:5" ht="31.5">
      <c r="A697" s="35">
        <v>687</v>
      </c>
      <c r="B697" s="36" t="s">
        <v>847</v>
      </c>
      <c r="C697" s="37" t="s">
        <v>906</v>
      </c>
      <c r="D697" s="37" t="s">
        <v>907</v>
      </c>
      <c r="E697" s="12" t="s">
        <v>1321</v>
      </c>
    </row>
    <row r="698" spans="1:5" ht="47.25">
      <c r="A698" s="35">
        <v>688</v>
      </c>
      <c r="B698" s="36" t="s">
        <v>847</v>
      </c>
      <c r="C698" s="37" t="s">
        <v>908</v>
      </c>
      <c r="D698" s="36" t="s">
        <v>1298</v>
      </c>
      <c r="E698" s="12" t="s">
        <v>1321</v>
      </c>
    </row>
    <row r="699" spans="1:5" ht="31.5">
      <c r="A699" s="35">
        <v>689</v>
      </c>
      <c r="B699" s="36" t="s">
        <v>847</v>
      </c>
      <c r="C699" s="37" t="s">
        <v>909</v>
      </c>
      <c r="D699" s="36" t="s">
        <v>910</v>
      </c>
      <c r="E699" s="12" t="s">
        <v>1321</v>
      </c>
    </row>
    <row r="700" spans="1:5" ht="110.25">
      <c r="A700" s="35">
        <v>690</v>
      </c>
      <c r="B700" s="36" t="s">
        <v>847</v>
      </c>
      <c r="C700" s="37" t="s">
        <v>911</v>
      </c>
      <c r="D700" s="36" t="s">
        <v>1299</v>
      </c>
      <c r="E700" s="12" t="s">
        <v>1321</v>
      </c>
    </row>
    <row r="701" spans="1:5" ht="47.25">
      <c r="A701" s="35">
        <v>691</v>
      </c>
      <c r="B701" s="36" t="s">
        <v>847</v>
      </c>
      <c r="C701" s="37" t="s">
        <v>912</v>
      </c>
      <c r="D701" s="36" t="s">
        <v>1300</v>
      </c>
      <c r="E701" s="12" t="s">
        <v>1321</v>
      </c>
    </row>
    <row r="702" spans="1:5" ht="63">
      <c r="A702" s="35">
        <v>692</v>
      </c>
      <c r="B702" s="36" t="s">
        <v>847</v>
      </c>
      <c r="C702" s="37" t="s">
        <v>913</v>
      </c>
      <c r="D702" s="36" t="s">
        <v>1301</v>
      </c>
      <c r="E702" s="12" t="s">
        <v>1321</v>
      </c>
    </row>
    <row r="703" spans="1:5" ht="94.5">
      <c r="A703" s="35">
        <v>693</v>
      </c>
      <c r="B703" s="36" t="s">
        <v>847</v>
      </c>
      <c r="C703" s="37" t="s">
        <v>734</v>
      </c>
      <c r="D703" s="37" t="s">
        <v>735</v>
      </c>
      <c r="E703" s="12" t="s">
        <v>1321</v>
      </c>
    </row>
    <row r="704" spans="1:5" ht="94.5">
      <c r="A704" s="35">
        <v>694</v>
      </c>
      <c r="B704" s="36" t="s">
        <v>847</v>
      </c>
      <c r="C704" s="37" t="s">
        <v>736</v>
      </c>
      <c r="D704" s="37" t="s">
        <v>737</v>
      </c>
      <c r="E704" s="12" t="s">
        <v>1321</v>
      </c>
    </row>
    <row r="705" spans="1:5" ht="94.5">
      <c r="A705" s="35">
        <v>695</v>
      </c>
      <c r="B705" s="36" t="s">
        <v>847</v>
      </c>
      <c r="C705" s="37" t="s">
        <v>738</v>
      </c>
      <c r="D705" s="37" t="s">
        <v>739</v>
      </c>
      <c r="E705" s="12" t="s">
        <v>1320</v>
      </c>
    </row>
    <row r="706" spans="1:5" ht="63">
      <c r="A706" s="35">
        <v>696</v>
      </c>
      <c r="B706" s="36" t="s">
        <v>847</v>
      </c>
      <c r="C706" s="37" t="s">
        <v>740</v>
      </c>
      <c r="D706" s="36" t="s">
        <v>741</v>
      </c>
      <c r="E706" s="12" t="s">
        <v>1320</v>
      </c>
    </row>
    <row r="707" spans="1:5" ht="94.5">
      <c r="A707" s="5"/>
      <c r="B707" s="6" t="s">
        <v>914</v>
      </c>
      <c r="C707" s="6" t="s">
        <v>1316</v>
      </c>
      <c r="D707" s="6" t="s">
        <v>1175</v>
      </c>
      <c r="E707" s="164" t="s">
        <v>1324</v>
      </c>
    </row>
    <row r="708" spans="1:5" ht="63">
      <c r="A708" s="38">
        <v>697</v>
      </c>
      <c r="B708" s="39" t="s">
        <v>914</v>
      </c>
      <c r="C708" s="40" t="s">
        <v>915</v>
      </c>
      <c r="D708" s="39" t="s">
        <v>916</v>
      </c>
      <c r="E708" s="12" t="s">
        <v>1322</v>
      </c>
    </row>
    <row r="709" spans="1:5" ht="94.5">
      <c r="A709" s="38">
        <v>698</v>
      </c>
      <c r="B709" s="39" t="s">
        <v>914</v>
      </c>
      <c r="C709" s="40" t="s">
        <v>917</v>
      </c>
      <c r="D709" s="40" t="s">
        <v>918</v>
      </c>
      <c r="E709" s="12" t="s">
        <v>1322</v>
      </c>
    </row>
    <row r="710" spans="1:5" ht="47.25">
      <c r="A710" s="38">
        <v>699</v>
      </c>
      <c r="B710" s="39" t="s">
        <v>914</v>
      </c>
      <c r="C710" s="40" t="s">
        <v>919</v>
      </c>
      <c r="D710" s="40" t="s">
        <v>920</v>
      </c>
      <c r="E710" s="12" t="s">
        <v>1322</v>
      </c>
    </row>
    <row r="711" spans="1:5" ht="63">
      <c r="A711" s="38">
        <v>700</v>
      </c>
      <c r="B711" s="39" t="s">
        <v>914</v>
      </c>
      <c r="C711" s="40" t="s">
        <v>921</v>
      </c>
      <c r="D711" s="39" t="s">
        <v>922</v>
      </c>
      <c r="E711" s="12" t="s">
        <v>1322</v>
      </c>
    </row>
    <row r="712" spans="1:5" ht="47.25">
      <c r="A712" s="38">
        <v>701</v>
      </c>
      <c r="B712" s="39" t="s">
        <v>914</v>
      </c>
      <c r="C712" s="40" t="s">
        <v>923</v>
      </c>
      <c r="D712" s="39" t="s">
        <v>924</v>
      </c>
      <c r="E712" s="12" t="s">
        <v>1322</v>
      </c>
    </row>
    <row r="713" spans="1:5" ht="63">
      <c r="A713" s="38">
        <v>702</v>
      </c>
      <c r="B713" s="39" t="s">
        <v>914</v>
      </c>
      <c r="C713" s="40" t="s">
        <v>925</v>
      </c>
      <c r="D713" s="39" t="s">
        <v>926</v>
      </c>
      <c r="E713" s="12" t="s">
        <v>1320</v>
      </c>
    </row>
    <row r="714" spans="1:5" ht="31.5">
      <c r="A714" s="38">
        <v>703</v>
      </c>
      <c r="B714" s="39" t="s">
        <v>914</v>
      </c>
      <c r="C714" s="40" t="s">
        <v>927</v>
      </c>
      <c r="D714" s="40" t="s">
        <v>928</v>
      </c>
      <c r="E714" s="12" t="s">
        <v>1320</v>
      </c>
    </row>
    <row r="715" spans="1:5" ht="31.5">
      <c r="A715" s="38">
        <v>704</v>
      </c>
      <c r="B715" s="39" t="s">
        <v>914</v>
      </c>
      <c r="C715" s="40" t="s">
        <v>929</v>
      </c>
      <c r="D715" s="40" t="s">
        <v>930</v>
      </c>
      <c r="E715" s="12" t="s">
        <v>1320</v>
      </c>
    </row>
    <row r="716" spans="1:5" ht="31.5">
      <c r="A716" s="38">
        <v>705</v>
      </c>
      <c r="B716" s="39" t="s">
        <v>914</v>
      </c>
      <c r="C716" s="40" t="s">
        <v>931</v>
      </c>
      <c r="D716" s="40" t="s">
        <v>932</v>
      </c>
      <c r="E716" s="12" t="s">
        <v>1320</v>
      </c>
    </row>
    <row r="717" spans="1:5" ht="31.5">
      <c r="A717" s="38">
        <v>706</v>
      </c>
      <c r="B717" s="39" t="s">
        <v>914</v>
      </c>
      <c r="C717" s="40" t="s">
        <v>933</v>
      </c>
      <c r="D717" s="40" t="s">
        <v>934</v>
      </c>
      <c r="E717" s="12" t="s">
        <v>1320</v>
      </c>
    </row>
    <row r="718" spans="1:5" ht="31.5">
      <c r="A718" s="38">
        <v>707</v>
      </c>
      <c r="B718" s="39" t="s">
        <v>914</v>
      </c>
      <c r="C718" s="40" t="s">
        <v>31</v>
      </c>
      <c r="D718" s="40" t="s">
        <v>935</v>
      </c>
      <c r="E718" s="12" t="s">
        <v>1320</v>
      </c>
    </row>
    <row r="719" spans="1:5" ht="47.25">
      <c r="A719" s="38">
        <v>708</v>
      </c>
      <c r="B719" s="39" t="s">
        <v>914</v>
      </c>
      <c r="C719" s="40" t="s">
        <v>32</v>
      </c>
      <c r="D719" s="40" t="s">
        <v>936</v>
      </c>
      <c r="E719" s="12" t="s">
        <v>1320</v>
      </c>
    </row>
    <row r="720" spans="1:5" ht="31.5">
      <c r="A720" s="38">
        <v>709</v>
      </c>
      <c r="B720" s="39" t="s">
        <v>914</v>
      </c>
      <c r="C720" s="40" t="s">
        <v>937</v>
      </c>
      <c r="D720" s="40" t="s">
        <v>938</v>
      </c>
      <c r="E720" s="12" t="s">
        <v>1320</v>
      </c>
    </row>
    <row r="721" spans="1:5" ht="47.25">
      <c r="A721" s="38">
        <v>710</v>
      </c>
      <c r="B721" s="39" t="s">
        <v>914</v>
      </c>
      <c r="C721" s="40" t="s">
        <v>939</v>
      </c>
      <c r="D721" s="40" t="s">
        <v>940</v>
      </c>
      <c r="E721" s="12" t="s">
        <v>1320</v>
      </c>
    </row>
    <row r="722" spans="1:5" ht="47.25">
      <c r="A722" s="38">
        <v>711</v>
      </c>
      <c r="B722" s="39" t="s">
        <v>914</v>
      </c>
      <c r="C722" s="40" t="s">
        <v>941</v>
      </c>
      <c r="D722" s="39" t="s">
        <v>1302</v>
      </c>
      <c r="E722" s="12" t="s">
        <v>1320</v>
      </c>
    </row>
    <row r="723" spans="1:5" ht="94.5">
      <c r="A723" s="38">
        <v>712</v>
      </c>
      <c r="B723" s="39" t="s">
        <v>914</v>
      </c>
      <c r="C723" s="40" t="s">
        <v>201</v>
      </c>
      <c r="D723" s="39" t="s">
        <v>202</v>
      </c>
      <c r="E723" s="12" t="s">
        <v>1320</v>
      </c>
    </row>
    <row r="724" spans="1:5" ht="63">
      <c r="A724" s="38">
        <v>713</v>
      </c>
      <c r="B724" s="39" t="s">
        <v>914</v>
      </c>
      <c r="C724" s="40" t="s">
        <v>261</v>
      </c>
      <c r="D724" s="39" t="s">
        <v>262</v>
      </c>
      <c r="E724" s="12" t="s">
        <v>1320</v>
      </c>
    </row>
    <row r="725" spans="1:5" ht="78.75">
      <c r="A725" s="38">
        <v>714</v>
      </c>
      <c r="B725" s="39" t="s">
        <v>914</v>
      </c>
      <c r="C725" s="40" t="s">
        <v>942</v>
      </c>
      <c r="D725" s="39" t="s">
        <v>943</v>
      </c>
      <c r="E725" s="12" t="s">
        <v>1320</v>
      </c>
    </row>
    <row r="726" spans="1:5" ht="31.5">
      <c r="A726" s="38">
        <v>715</v>
      </c>
      <c r="B726" s="39" t="s">
        <v>914</v>
      </c>
      <c r="C726" s="40" t="s">
        <v>724</v>
      </c>
      <c r="D726" s="39" t="s">
        <v>725</v>
      </c>
      <c r="E726" s="12" t="s">
        <v>1320</v>
      </c>
    </row>
    <row r="727" spans="1:5" ht="47.25">
      <c r="A727" s="38">
        <v>716</v>
      </c>
      <c r="B727" s="39" t="s">
        <v>914</v>
      </c>
      <c r="C727" s="40" t="s">
        <v>726</v>
      </c>
      <c r="D727" s="39" t="s">
        <v>727</v>
      </c>
      <c r="E727" s="12" t="s">
        <v>1320</v>
      </c>
    </row>
    <row r="728" spans="1:5" ht="63">
      <c r="A728" s="38">
        <v>717</v>
      </c>
      <c r="B728" s="39" t="s">
        <v>914</v>
      </c>
      <c r="C728" s="40" t="s">
        <v>728</v>
      </c>
      <c r="D728" s="39" t="s">
        <v>729</v>
      </c>
      <c r="E728" s="12" t="s">
        <v>1320</v>
      </c>
    </row>
    <row r="729" spans="1:5" ht="63">
      <c r="A729" s="38">
        <v>718</v>
      </c>
      <c r="B729" s="39" t="s">
        <v>914</v>
      </c>
      <c r="C729" s="40" t="s">
        <v>730</v>
      </c>
      <c r="D729" s="39" t="s">
        <v>731</v>
      </c>
      <c r="E729" s="12" t="s">
        <v>1320</v>
      </c>
    </row>
    <row r="730" spans="1:5" ht="31.5">
      <c r="A730" s="38">
        <v>719</v>
      </c>
      <c r="B730" s="39" t="s">
        <v>914</v>
      </c>
      <c r="C730" s="40" t="s">
        <v>732</v>
      </c>
      <c r="D730" s="39" t="s">
        <v>733</v>
      </c>
      <c r="E730" s="12" t="s">
        <v>1320</v>
      </c>
    </row>
    <row r="731" spans="1:5" ht="78.75">
      <c r="A731" s="5"/>
      <c r="B731" s="6" t="s">
        <v>33</v>
      </c>
      <c r="C731" s="6" t="s">
        <v>1316</v>
      </c>
      <c r="D731" s="6" t="s">
        <v>1176</v>
      </c>
      <c r="E731" s="12" t="s">
        <v>1320</v>
      </c>
    </row>
    <row r="732" spans="1:5" ht="78.75">
      <c r="A732" s="41">
        <v>720</v>
      </c>
      <c r="B732" s="42" t="s">
        <v>33</v>
      </c>
      <c r="C732" s="43" t="s">
        <v>751</v>
      </c>
      <c r="D732" s="42" t="s">
        <v>1275</v>
      </c>
      <c r="E732" s="12" t="s">
        <v>1320</v>
      </c>
    </row>
    <row r="733" spans="1:5" ht="31.5">
      <c r="A733" s="41">
        <v>721</v>
      </c>
      <c r="B733" s="42" t="s">
        <v>33</v>
      </c>
      <c r="C733" s="43" t="s">
        <v>752</v>
      </c>
      <c r="D733" s="42" t="s">
        <v>753</v>
      </c>
      <c r="E733" s="12" t="s">
        <v>1320</v>
      </c>
    </row>
    <row r="734" spans="1:5" ht="47.25">
      <c r="A734" s="41">
        <v>722</v>
      </c>
      <c r="B734" s="42" t="s">
        <v>33</v>
      </c>
      <c r="C734" s="43" t="s">
        <v>754</v>
      </c>
      <c r="D734" s="42" t="s">
        <v>1276</v>
      </c>
      <c r="E734" s="12" t="s">
        <v>1320</v>
      </c>
    </row>
    <row r="735" spans="1:5" ht="78.75">
      <c r="A735" s="41">
        <v>723</v>
      </c>
      <c r="B735" s="42" t="s">
        <v>33</v>
      </c>
      <c r="C735" s="43" t="s">
        <v>755</v>
      </c>
      <c r="D735" s="42" t="s">
        <v>1277</v>
      </c>
      <c r="E735" s="12" t="s">
        <v>1320</v>
      </c>
    </row>
    <row r="736" spans="1:5" ht="47.25">
      <c r="A736" s="41">
        <v>724</v>
      </c>
      <c r="B736" s="42" t="s">
        <v>33</v>
      </c>
      <c r="C736" s="43" t="s">
        <v>756</v>
      </c>
      <c r="D736" s="42" t="s">
        <v>1278</v>
      </c>
      <c r="E736" s="12" t="s">
        <v>1320</v>
      </c>
    </row>
    <row r="737" spans="1:5" ht="47.25">
      <c r="A737" s="41">
        <v>725</v>
      </c>
      <c r="B737" s="42" t="s">
        <v>33</v>
      </c>
      <c r="C737" s="43" t="s">
        <v>944</v>
      </c>
      <c r="D737" s="42" t="s">
        <v>945</v>
      </c>
      <c r="E737" s="12" t="s">
        <v>1320</v>
      </c>
    </row>
    <row r="738" spans="1:5" ht="31.5">
      <c r="A738" s="41">
        <v>726</v>
      </c>
      <c r="B738" s="42" t="s">
        <v>33</v>
      </c>
      <c r="C738" s="43" t="s">
        <v>946</v>
      </c>
      <c r="D738" s="42" t="s">
        <v>947</v>
      </c>
      <c r="E738" s="12" t="s">
        <v>1320</v>
      </c>
    </row>
    <row r="739" spans="1:5" ht="47.25">
      <c r="A739" s="41">
        <v>727</v>
      </c>
      <c r="B739" s="42" t="s">
        <v>33</v>
      </c>
      <c r="C739" s="43" t="s">
        <v>948</v>
      </c>
      <c r="D739" s="43" t="s">
        <v>949</v>
      </c>
      <c r="E739" s="12" t="s">
        <v>1320</v>
      </c>
    </row>
    <row r="740" spans="1:5" ht="63">
      <c r="A740" s="41">
        <v>728</v>
      </c>
      <c r="B740" s="42" t="s">
        <v>33</v>
      </c>
      <c r="C740" s="43" t="s">
        <v>950</v>
      </c>
      <c r="D740" s="42" t="s">
        <v>951</v>
      </c>
      <c r="E740" s="12" t="s">
        <v>1320</v>
      </c>
    </row>
    <row r="741" spans="1:5" ht="47.25">
      <c r="A741" s="41">
        <v>729</v>
      </c>
      <c r="B741" s="42" t="s">
        <v>33</v>
      </c>
      <c r="C741" s="43" t="s">
        <v>952</v>
      </c>
      <c r="D741" s="42" t="s">
        <v>953</v>
      </c>
      <c r="E741" s="12" t="s">
        <v>1320</v>
      </c>
    </row>
    <row r="742" spans="1:5" ht="47.25">
      <c r="A742" s="41">
        <v>730</v>
      </c>
      <c r="B742" s="42" t="s">
        <v>33</v>
      </c>
      <c r="C742" s="43" t="s">
        <v>954</v>
      </c>
      <c r="D742" s="43" t="s">
        <v>955</v>
      </c>
      <c r="E742" s="12" t="s">
        <v>1320</v>
      </c>
    </row>
    <row r="743" spans="1:5" ht="31.5">
      <c r="A743" s="41">
        <v>731</v>
      </c>
      <c r="B743" s="42" t="s">
        <v>33</v>
      </c>
      <c r="C743" s="43" t="s">
        <v>956</v>
      </c>
      <c r="D743" s="42" t="s">
        <v>957</v>
      </c>
      <c r="E743" s="12" t="s">
        <v>1320</v>
      </c>
    </row>
    <row r="744" spans="1:5" ht="31.5">
      <c r="A744" s="41">
        <v>732</v>
      </c>
      <c r="B744" s="42" t="s">
        <v>33</v>
      </c>
      <c r="C744" s="43" t="s">
        <v>958</v>
      </c>
      <c r="D744" s="42" t="s">
        <v>959</v>
      </c>
      <c r="E744" s="12" t="s">
        <v>1320</v>
      </c>
    </row>
    <row r="745" spans="1:5">
      <c r="A745" s="41">
        <v>733</v>
      </c>
      <c r="B745" s="42" t="s">
        <v>33</v>
      </c>
      <c r="C745" s="43" t="s">
        <v>960</v>
      </c>
      <c r="D745" s="42" t="s">
        <v>961</v>
      </c>
      <c r="E745" s="12" t="s">
        <v>1320</v>
      </c>
    </row>
    <row r="746" spans="1:5" ht="47.25">
      <c r="A746" s="41">
        <v>734</v>
      </c>
      <c r="B746" s="42" t="s">
        <v>33</v>
      </c>
      <c r="C746" s="43" t="s">
        <v>962</v>
      </c>
      <c r="D746" s="42" t="s">
        <v>963</v>
      </c>
      <c r="E746" s="12" t="s">
        <v>1320</v>
      </c>
    </row>
    <row r="747" spans="1:5" ht="31.5">
      <c r="A747" s="41">
        <v>735</v>
      </c>
      <c r="B747" s="42" t="s">
        <v>33</v>
      </c>
      <c r="C747" s="43" t="s">
        <v>964</v>
      </c>
      <c r="D747" s="42" t="s">
        <v>965</v>
      </c>
      <c r="E747" s="12" t="s">
        <v>1320</v>
      </c>
    </row>
    <row r="748" spans="1:5" ht="78.75">
      <c r="A748" s="41">
        <v>736</v>
      </c>
      <c r="B748" s="42" t="s">
        <v>33</v>
      </c>
      <c r="C748" s="43" t="s">
        <v>966</v>
      </c>
      <c r="D748" s="42" t="s">
        <v>967</v>
      </c>
      <c r="E748" s="12" t="s">
        <v>1320</v>
      </c>
    </row>
    <row r="749" spans="1:5" ht="94.5">
      <c r="A749" s="41">
        <v>737</v>
      </c>
      <c r="B749" s="42" t="s">
        <v>33</v>
      </c>
      <c r="C749" s="43" t="s">
        <v>968</v>
      </c>
      <c r="D749" s="43" t="s">
        <v>969</v>
      </c>
      <c r="E749" s="12" t="s">
        <v>1320</v>
      </c>
    </row>
    <row r="750" spans="1:5" ht="47.25">
      <c r="A750" s="41">
        <v>738</v>
      </c>
      <c r="B750" s="42" t="s">
        <v>33</v>
      </c>
      <c r="C750" s="43" t="s">
        <v>34</v>
      </c>
      <c r="D750" s="42" t="s">
        <v>970</v>
      </c>
      <c r="E750" s="12" t="s">
        <v>1320</v>
      </c>
    </row>
    <row r="751" spans="1:5" ht="47.25">
      <c r="A751" s="41">
        <v>739</v>
      </c>
      <c r="B751" s="42" t="s">
        <v>33</v>
      </c>
      <c r="C751" s="43" t="s">
        <v>35</v>
      </c>
      <c r="D751" s="42" t="s">
        <v>971</v>
      </c>
      <c r="E751" s="12" t="s">
        <v>1320</v>
      </c>
    </row>
    <row r="752" spans="1:5" ht="63">
      <c r="A752" s="41">
        <v>740</v>
      </c>
      <c r="B752" s="42" t="s">
        <v>33</v>
      </c>
      <c r="C752" s="43" t="s">
        <v>107</v>
      </c>
      <c r="D752" s="42" t="s">
        <v>972</v>
      </c>
      <c r="E752" s="12" t="s">
        <v>1320</v>
      </c>
    </row>
    <row r="753" spans="1:5" ht="31.5">
      <c r="A753" s="41">
        <v>741</v>
      </c>
      <c r="B753" s="42" t="s">
        <v>33</v>
      </c>
      <c r="C753" s="43" t="s">
        <v>973</v>
      </c>
      <c r="D753" s="42" t="s">
        <v>974</v>
      </c>
      <c r="E753" s="12" t="s">
        <v>1320</v>
      </c>
    </row>
    <row r="754" spans="1:5" ht="31.5">
      <c r="A754" s="41">
        <v>742</v>
      </c>
      <c r="B754" s="42" t="s">
        <v>33</v>
      </c>
      <c r="C754" s="43" t="s">
        <v>975</v>
      </c>
      <c r="D754" s="42" t="s">
        <v>976</v>
      </c>
      <c r="E754" s="12" t="s">
        <v>1320</v>
      </c>
    </row>
    <row r="755" spans="1:5" ht="31.5">
      <c r="A755" s="41">
        <v>743</v>
      </c>
      <c r="B755" s="42" t="s">
        <v>33</v>
      </c>
      <c r="C755" s="43" t="s">
        <v>977</v>
      </c>
      <c r="D755" s="42" t="s">
        <v>978</v>
      </c>
      <c r="E755" s="12" t="s">
        <v>1320</v>
      </c>
    </row>
    <row r="756" spans="1:5" ht="63">
      <c r="A756" s="41">
        <v>744</v>
      </c>
      <c r="B756" s="42" t="s">
        <v>33</v>
      </c>
      <c r="C756" s="43" t="s">
        <v>979</v>
      </c>
      <c r="D756" s="43" t="s">
        <v>980</v>
      </c>
      <c r="E756" s="12" t="s">
        <v>1320</v>
      </c>
    </row>
    <row r="757" spans="1:5" ht="63">
      <c r="A757" s="41">
        <v>745</v>
      </c>
      <c r="B757" s="42" t="s">
        <v>33</v>
      </c>
      <c r="C757" s="43" t="s">
        <v>981</v>
      </c>
      <c r="D757" s="43" t="s">
        <v>982</v>
      </c>
      <c r="E757" s="12" t="s">
        <v>1320</v>
      </c>
    </row>
    <row r="758" spans="1:5" ht="63">
      <c r="A758" s="41">
        <v>746</v>
      </c>
      <c r="B758" s="42" t="s">
        <v>33</v>
      </c>
      <c r="C758" s="43" t="s">
        <v>983</v>
      </c>
      <c r="D758" s="42" t="s">
        <v>1303</v>
      </c>
      <c r="E758" s="12" t="s">
        <v>1320</v>
      </c>
    </row>
    <row r="759" spans="1:5" ht="63">
      <c r="A759" s="41">
        <v>747</v>
      </c>
      <c r="B759" s="42" t="s">
        <v>33</v>
      </c>
      <c r="C759" s="43" t="s">
        <v>984</v>
      </c>
      <c r="D759" s="42" t="s">
        <v>1304</v>
      </c>
      <c r="E759" s="12" t="s">
        <v>1320</v>
      </c>
    </row>
    <row r="760" spans="1:5" ht="63">
      <c r="A760" s="41">
        <v>748</v>
      </c>
      <c r="B760" s="42" t="s">
        <v>33</v>
      </c>
      <c r="C760" s="43" t="s">
        <v>985</v>
      </c>
      <c r="D760" s="42" t="s">
        <v>1305</v>
      </c>
      <c r="E760" s="12" t="s">
        <v>1320</v>
      </c>
    </row>
    <row r="761" spans="1:5" ht="78.75">
      <c r="A761" s="41">
        <v>749</v>
      </c>
      <c r="B761" s="42" t="s">
        <v>33</v>
      </c>
      <c r="C761" s="43" t="s">
        <v>986</v>
      </c>
      <c r="D761" s="42" t="s">
        <v>987</v>
      </c>
      <c r="E761" s="12" t="s">
        <v>1320</v>
      </c>
    </row>
    <row r="762" spans="1:5" ht="31.5">
      <c r="A762" s="41">
        <v>750</v>
      </c>
      <c r="B762" s="42" t="s">
        <v>33</v>
      </c>
      <c r="C762" s="43" t="s">
        <v>988</v>
      </c>
      <c r="D762" s="42" t="s">
        <v>989</v>
      </c>
      <c r="E762" s="12" t="s">
        <v>1320</v>
      </c>
    </row>
    <row r="763" spans="1:5" ht="78.75">
      <c r="A763" s="41">
        <v>751</v>
      </c>
      <c r="B763" s="42" t="s">
        <v>33</v>
      </c>
      <c r="C763" s="43" t="s">
        <v>990</v>
      </c>
      <c r="D763" s="43" t="s">
        <v>991</v>
      </c>
      <c r="E763" s="12" t="s">
        <v>1320</v>
      </c>
    </row>
    <row r="764" spans="1:5" ht="141.75">
      <c r="A764" s="41">
        <v>752</v>
      </c>
      <c r="B764" s="42" t="s">
        <v>33</v>
      </c>
      <c r="C764" s="43" t="s">
        <v>992</v>
      </c>
      <c r="D764" s="42" t="s">
        <v>993</v>
      </c>
      <c r="E764" s="12" t="s">
        <v>1320</v>
      </c>
    </row>
    <row r="765" spans="1:5" ht="78.75">
      <c r="A765" s="41">
        <v>753</v>
      </c>
      <c r="B765" s="42" t="s">
        <v>33</v>
      </c>
      <c r="C765" s="43" t="s">
        <v>788</v>
      </c>
      <c r="D765" s="42" t="s">
        <v>1282</v>
      </c>
      <c r="E765" s="12" t="s">
        <v>1320</v>
      </c>
    </row>
    <row r="766" spans="1:5" ht="110.25">
      <c r="A766" s="41">
        <v>754</v>
      </c>
      <c r="B766" s="42" t="s">
        <v>33</v>
      </c>
      <c r="C766" s="43" t="s">
        <v>789</v>
      </c>
      <c r="D766" s="43" t="s">
        <v>790</v>
      </c>
      <c r="E766" s="12" t="s">
        <v>1321</v>
      </c>
    </row>
    <row r="767" spans="1:5" ht="78.75">
      <c r="A767" s="41">
        <v>755</v>
      </c>
      <c r="B767" s="42" t="s">
        <v>33</v>
      </c>
      <c r="C767" s="43" t="s">
        <v>791</v>
      </c>
      <c r="D767" s="43" t="s">
        <v>792</v>
      </c>
      <c r="E767" s="12" t="s">
        <v>1321</v>
      </c>
    </row>
    <row r="768" spans="1:5" ht="47.25">
      <c r="A768" s="41">
        <v>756</v>
      </c>
      <c r="B768" s="42" t="s">
        <v>33</v>
      </c>
      <c r="C768" s="43" t="s">
        <v>793</v>
      </c>
      <c r="D768" s="42" t="s">
        <v>794</v>
      </c>
      <c r="E768" s="12" t="s">
        <v>1321</v>
      </c>
    </row>
    <row r="769" spans="1:5" ht="78.75">
      <c r="A769" s="41">
        <v>757</v>
      </c>
      <c r="B769" s="42" t="s">
        <v>33</v>
      </c>
      <c r="C769" s="43" t="s">
        <v>795</v>
      </c>
      <c r="D769" s="43" t="s">
        <v>796</v>
      </c>
      <c r="E769" s="12" t="s">
        <v>1321</v>
      </c>
    </row>
    <row r="770" spans="1:5" ht="47.25">
      <c r="A770" s="41">
        <v>758</v>
      </c>
      <c r="B770" s="42" t="s">
        <v>33</v>
      </c>
      <c r="C770" s="43" t="s">
        <v>994</v>
      </c>
      <c r="D770" s="42" t="s">
        <v>1306</v>
      </c>
      <c r="E770" s="12" t="s">
        <v>1321</v>
      </c>
    </row>
    <row r="771" spans="1:5" ht="47.25">
      <c r="A771" s="41">
        <v>759</v>
      </c>
      <c r="B771" s="42" t="s">
        <v>33</v>
      </c>
      <c r="C771" s="43" t="s">
        <v>995</v>
      </c>
      <c r="D771" s="42" t="s">
        <v>996</v>
      </c>
      <c r="E771" s="12" t="s">
        <v>1321</v>
      </c>
    </row>
    <row r="772" spans="1:5" ht="78.75">
      <c r="A772" s="5"/>
      <c r="B772" s="6" t="s">
        <v>997</v>
      </c>
      <c r="C772" s="6" t="s">
        <v>1316</v>
      </c>
      <c r="D772" s="6" t="s">
        <v>1177</v>
      </c>
      <c r="E772" s="164" t="s">
        <v>1324</v>
      </c>
    </row>
    <row r="773" spans="1:5" ht="47.25">
      <c r="A773" s="44">
        <v>760</v>
      </c>
      <c r="B773" s="45" t="s">
        <v>997</v>
      </c>
      <c r="C773" s="46" t="s">
        <v>998</v>
      </c>
      <c r="D773" s="45" t="s">
        <v>999</v>
      </c>
      <c r="E773" s="12" t="s">
        <v>1322</v>
      </c>
    </row>
    <row r="774" spans="1:5" ht="47.25">
      <c r="A774" s="44">
        <v>761</v>
      </c>
      <c r="B774" s="45" t="s">
        <v>997</v>
      </c>
      <c r="C774" s="46" t="s">
        <v>1000</v>
      </c>
      <c r="D774" s="45" t="s">
        <v>1001</v>
      </c>
      <c r="E774" s="12" t="s">
        <v>1322</v>
      </c>
    </row>
    <row r="775" spans="1:5" ht="47.25">
      <c r="A775" s="44">
        <v>762</v>
      </c>
      <c r="B775" s="45" t="s">
        <v>997</v>
      </c>
      <c r="C775" s="46" t="s">
        <v>1002</v>
      </c>
      <c r="D775" s="45" t="s">
        <v>1003</v>
      </c>
      <c r="E775" s="12" t="s">
        <v>1322</v>
      </c>
    </row>
    <row r="776" spans="1:5" ht="47.25">
      <c r="A776" s="44">
        <v>763</v>
      </c>
      <c r="B776" s="45" t="s">
        <v>997</v>
      </c>
      <c r="C776" s="46" t="s">
        <v>1004</v>
      </c>
      <c r="D776" s="45" t="s">
        <v>1005</v>
      </c>
      <c r="E776" s="12" t="s">
        <v>1322</v>
      </c>
    </row>
    <row r="777" spans="1:5" ht="47.25">
      <c r="A777" s="44">
        <v>764</v>
      </c>
      <c r="B777" s="45" t="s">
        <v>997</v>
      </c>
      <c r="C777" s="46" t="s">
        <v>4</v>
      </c>
      <c r="D777" s="45" t="s">
        <v>1006</v>
      </c>
      <c r="E777" s="12" t="s">
        <v>1322</v>
      </c>
    </row>
    <row r="778" spans="1:5" ht="47.25">
      <c r="A778" s="44">
        <v>765</v>
      </c>
      <c r="B778" s="45" t="s">
        <v>997</v>
      </c>
      <c r="C778" s="46" t="s">
        <v>1007</v>
      </c>
      <c r="D778" s="45" t="s">
        <v>1008</v>
      </c>
      <c r="E778" s="12" t="s">
        <v>1321</v>
      </c>
    </row>
    <row r="779" spans="1:5" ht="78.75">
      <c r="A779" s="44">
        <v>766</v>
      </c>
      <c r="B779" s="45" t="s">
        <v>997</v>
      </c>
      <c r="C779" s="46" t="s">
        <v>1009</v>
      </c>
      <c r="D779" s="46" t="s">
        <v>1010</v>
      </c>
      <c r="E779" s="12" t="s">
        <v>1321</v>
      </c>
    </row>
    <row r="780" spans="1:5" ht="78.75">
      <c r="A780" s="44">
        <v>767</v>
      </c>
      <c r="B780" s="45" t="s">
        <v>997</v>
      </c>
      <c r="C780" s="46" t="s">
        <v>186</v>
      </c>
      <c r="D780" s="45" t="s">
        <v>1197</v>
      </c>
      <c r="E780" s="12" t="s">
        <v>1321</v>
      </c>
    </row>
    <row r="781" spans="1:5" ht="78.75">
      <c r="A781" s="44">
        <v>768</v>
      </c>
      <c r="B781" s="45" t="s">
        <v>997</v>
      </c>
      <c r="C781" s="46" t="s">
        <v>1011</v>
      </c>
      <c r="D781" s="45" t="s">
        <v>1012</v>
      </c>
      <c r="E781" s="12" t="s">
        <v>1321</v>
      </c>
    </row>
    <row r="782" spans="1:5" ht="63">
      <c r="A782" s="44">
        <v>769</v>
      </c>
      <c r="B782" s="45" t="s">
        <v>997</v>
      </c>
      <c r="C782" s="46" t="s">
        <v>1013</v>
      </c>
      <c r="D782" s="45" t="s">
        <v>1014</v>
      </c>
      <c r="E782" s="12" t="s">
        <v>1321</v>
      </c>
    </row>
    <row r="783" spans="1:5" ht="63">
      <c r="A783" s="44">
        <v>770</v>
      </c>
      <c r="B783" s="45" t="s">
        <v>997</v>
      </c>
      <c r="C783" s="46" t="s">
        <v>1015</v>
      </c>
      <c r="D783" s="45" t="s">
        <v>1016</v>
      </c>
      <c r="E783" s="12" t="s">
        <v>1321</v>
      </c>
    </row>
    <row r="784" spans="1:5" ht="63">
      <c r="A784" s="44">
        <v>771</v>
      </c>
      <c r="B784" s="45" t="s">
        <v>997</v>
      </c>
      <c r="C784" s="46" t="s">
        <v>1017</v>
      </c>
      <c r="D784" s="45" t="s">
        <v>1018</v>
      </c>
      <c r="E784" s="12" t="s">
        <v>1321</v>
      </c>
    </row>
    <row r="785" spans="1:5" ht="63">
      <c r="A785" s="44">
        <v>772</v>
      </c>
      <c r="B785" s="45" t="s">
        <v>997</v>
      </c>
      <c r="C785" s="46" t="s">
        <v>1019</v>
      </c>
      <c r="D785" s="45" t="s">
        <v>1020</v>
      </c>
      <c r="E785" s="12" t="s">
        <v>1321</v>
      </c>
    </row>
    <row r="786" spans="1:5" ht="78.75">
      <c r="A786" s="44">
        <v>773</v>
      </c>
      <c r="B786" s="45" t="s">
        <v>997</v>
      </c>
      <c r="C786" s="46" t="s">
        <v>655</v>
      </c>
      <c r="D786" s="45" t="s">
        <v>1021</v>
      </c>
      <c r="E786" s="12" t="s">
        <v>1321</v>
      </c>
    </row>
    <row r="787" spans="1:5" ht="47.25">
      <c r="A787" s="44">
        <v>774</v>
      </c>
      <c r="B787" s="45" t="s">
        <v>997</v>
      </c>
      <c r="C787" s="46" t="s">
        <v>1022</v>
      </c>
      <c r="D787" s="45" t="s">
        <v>1023</v>
      </c>
      <c r="E787" s="12" t="s">
        <v>1321</v>
      </c>
    </row>
    <row r="788" spans="1:5" ht="63">
      <c r="A788" s="44">
        <v>775</v>
      </c>
      <c r="B788" s="45" t="s">
        <v>997</v>
      </c>
      <c r="C788" s="46" t="s">
        <v>1024</v>
      </c>
      <c r="D788" s="45" t="s">
        <v>1025</v>
      </c>
      <c r="E788" s="12" t="s">
        <v>1321</v>
      </c>
    </row>
    <row r="789" spans="1:5" ht="63">
      <c r="A789" s="44">
        <v>776</v>
      </c>
      <c r="B789" s="45" t="s">
        <v>997</v>
      </c>
      <c r="C789" s="46" t="s">
        <v>1026</v>
      </c>
      <c r="D789" s="45" t="s">
        <v>1027</v>
      </c>
      <c r="E789" s="12" t="s">
        <v>1321</v>
      </c>
    </row>
    <row r="790" spans="1:5" ht="63">
      <c r="A790" s="44">
        <v>777</v>
      </c>
      <c r="B790" s="45" t="s">
        <v>997</v>
      </c>
      <c r="C790" s="46" t="s">
        <v>1028</v>
      </c>
      <c r="D790" s="45" t="s">
        <v>1029</v>
      </c>
      <c r="E790" s="12" t="s">
        <v>1320</v>
      </c>
    </row>
    <row r="791" spans="1:5" ht="47.25">
      <c r="A791" s="44">
        <v>778</v>
      </c>
      <c r="B791" s="45" t="s">
        <v>997</v>
      </c>
      <c r="C791" s="46" t="s">
        <v>1030</v>
      </c>
      <c r="D791" s="45" t="s">
        <v>1031</v>
      </c>
      <c r="E791" s="12" t="s">
        <v>1320</v>
      </c>
    </row>
    <row r="792" spans="1:5" ht="63">
      <c r="A792" s="44">
        <v>779</v>
      </c>
      <c r="B792" s="45" t="s">
        <v>997</v>
      </c>
      <c r="C792" s="46" t="s">
        <v>1032</v>
      </c>
      <c r="D792" s="45" t="s">
        <v>1033</v>
      </c>
      <c r="E792" s="12" t="s">
        <v>1320</v>
      </c>
    </row>
    <row r="793" spans="1:5" ht="63">
      <c r="A793" s="44">
        <v>780</v>
      </c>
      <c r="B793" s="45" t="s">
        <v>997</v>
      </c>
      <c r="C793" s="46" t="s">
        <v>1034</v>
      </c>
      <c r="D793" s="45" t="s">
        <v>1035</v>
      </c>
      <c r="E793" s="12" t="s">
        <v>1320</v>
      </c>
    </row>
    <row r="794" spans="1:5" ht="94.5">
      <c r="A794" s="44">
        <v>781</v>
      </c>
      <c r="B794" s="45" t="s">
        <v>997</v>
      </c>
      <c r="C794" s="46" t="s">
        <v>1036</v>
      </c>
      <c r="D794" s="45" t="s">
        <v>1037</v>
      </c>
      <c r="E794" s="12" t="s">
        <v>1320</v>
      </c>
    </row>
    <row r="795" spans="1:5" ht="31.5">
      <c r="A795" s="44">
        <v>782</v>
      </c>
      <c r="B795" s="45" t="s">
        <v>997</v>
      </c>
      <c r="C795" s="46" t="s">
        <v>1038</v>
      </c>
      <c r="D795" s="45" t="s">
        <v>1039</v>
      </c>
      <c r="E795" s="12" t="s">
        <v>1320</v>
      </c>
    </row>
    <row r="796" spans="1:5" ht="63">
      <c r="A796" s="44">
        <v>783</v>
      </c>
      <c r="B796" s="45" t="s">
        <v>997</v>
      </c>
      <c r="C796" s="46" t="s">
        <v>1040</v>
      </c>
      <c r="D796" s="45" t="s">
        <v>1041</v>
      </c>
      <c r="E796" s="12" t="s">
        <v>1320</v>
      </c>
    </row>
    <row r="797" spans="1:5" ht="63">
      <c r="A797" s="44">
        <v>784</v>
      </c>
      <c r="B797" s="45" t="s">
        <v>997</v>
      </c>
      <c r="C797" s="46" t="s">
        <v>1042</v>
      </c>
      <c r="D797" s="45" t="s">
        <v>1307</v>
      </c>
      <c r="E797" s="12" t="s">
        <v>1320</v>
      </c>
    </row>
    <row r="798" spans="1:5" ht="31.5">
      <c r="A798" s="44">
        <v>785</v>
      </c>
      <c r="B798" s="45" t="s">
        <v>997</v>
      </c>
      <c r="C798" s="46" t="s">
        <v>1043</v>
      </c>
      <c r="D798" s="45" t="s">
        <v>1044</v>
      </c>
      <c r="E798" s="12" t="s">
        <v>1320</v>
      </c>
    </row>
    <row r="799" spans="1:5" ht="78.75">
      <c r="A799" s="44">
        <v>786</v>
      </c>
      <c r="B799" s="45" t="s">
        <v>997</v>
      </c>
      <c r="C799" s="46" t="s">
        <v>1045</v>
      </c>
      <c r="D799" s="45" t="s">
        <v>1046</v>
      </c>
      <c r="E799" s="12" t="s">
        <v>1320</v>
      </c>
    </row>
    <row r="800" spans="1:5" ht="47.25">
      <c r="A800" s="44">
        <v>787</v>
      </c>
      <c r="B800" s="45" t="s">
        <v>997</v>
      </c>
      <c r="C800" s="46" t="s">
        <v>1047</v>
      </c>
      <c r="D800" s="45" t="s">
        <v>1048</v>
      </c>
      <c r="E800" s="12" t="s">
        <v>1320</v>
      </c>
    </row>
    <row r="801" spans="1:5" ht="78.75">
      <c r="A801" s="44">
        <v>788</v>
      </c>
      <c r="B801" s="45" t="s">
        <v>997</v>
      </c>
      <c r="C801" s="46" t="s">
        <v>1049</v>
      </c>
      <c r="D801" s="45" t="s">
        <v>1050</v>
      </c>
      <c r="E801" s="12" t="s">
        <v>1320</v>
      </c>
    </row>
    <row r="802" spans="1:5" ht="94.5">
      <c r="A802" s="44">
        <v>789</v>
      </c>
      <c r="B802" s="45" t="s">
        <v>997</v>
      </c>
      <c r="C802" s="46" t="s">
        <v>1051</v>
      </c>
      <c r="D802" s="46" t="s">
        <v>1052</v>
      </c>
      <c r="E802" s="12" t="s">
        <v>1320</v>
      </c>
    </row>
    <row r="803" spans="1:5" ht="110.25">
      <c r="A803" s="44">
        <v>790</v>
      </c>
      <c r="B803" s="45" t="s">
        <v>997</v>
      </c>
      <c r="C803" s="46" t="s">
        <v>1053</v>
      </c>
      <c r="D803" s="46" t="s">
        <v>1054</v>
      </c>
      <c r="E803" s="12" t="s">
        <v>1320</v>
      </c>
    </row>
    <row r="804" spans="1:5" ht="78.75">
      <c r="A804" s="44">
        <v>791</v>
      </c>
      <c r="B804" s="45" t="s">
        <v>997</v>
      </c>
      <c r="C804" s="46" t="s">
        <v>1055</v>
      </c>
      <c r="D804" s="46" t="s">
        <v>1056</v>
      </c>
      <c r="E804" s="12" t="s">
        <v>1320</v>
      </c>
    </row>
    <row r="805" spans="1:5" ht="63">
      <c r="A805" s="44">
        <v>792</v>
      </c>
      <c r="B805" s="45" t="s">
        <v>997</v>
      </c>
      <c r="C805" s="46" t="s">
        <v>1057</v>
      </c>
      <c r="D805" s="45" t="s">
        <v>1058</v>
      </c>
      <c r="E805" s="12" t="s">
        <v>1320</v>
      </c>
    </row>
    <row r="806" spans="1:5" ht="94.5">
      <c r="A806" s="44">
        <v>793</v>
      </c>
      <c r="B806" s="45" t="s">
        <v>997</v>
      </c>
      <c r="C806" s="46" t="s">
        <v>1059</v>
      </c>
      <c r="D806" s="45" t="s">
        <v>1060</v>
      </c>
      <c r="E806" s="12" t="s">
        <v>1320</v>
      </c>
    </row>
    <row r="807" spans="1:5" ht="63">
      <c r="A807" s="44">
        <v>794</v>
      </c>
      <c r="B807" s="45" t="s">
        <v>997</v>
      </c>
      <c r="C807" s="46" t="s">
        <v>1061</v>
      </c>
      <c r="D807" s="45" t="s">
        <v>1308</v>
      </c>
      <c r="E807" s="12" t="s">
        <v>1320</v>
      </c>
    </row>
    <row r="808" spans="1:5" ht="126">
      <c r="A808" s="44">
        <v>795</v>
      </c>
      <c r="B808" s="45" t="s">
        <v>997</v>
      </c>
      <c r="C808" s="46" t="s">
        <v>459</v>
      </c>
      <c r="D808" s="46" t="s">
        <v>460</v>
      </c>
      <c r="E808" s="12" t="s">
        <v>1320</v>
      </c>
    </row>
    <row r="809" spans="1:5" ht="47.25">
      <c r="A809" s="44">
        <v>796</v>
      </c>
      <c r="B809" s="45" t="s">
        <v>997</v>
      </c>
      <c r="C809" s="46" t="s">
        <v>461</v>
      </c>
      <c r="D809" s="45" t="s">
        <v>462</v>
      </c>
      <c r="E809" s="12" t="s">
        <v>1320</v>
      </c>
    </row>
    <row r="810" spans="1:5" ht="78.75">
      <c r="A810" s="44">
        <v>797</v>
      </c>
      <c r="B810" s="45" t="s">
        <v>997</v>
      </c>
      <c r="C810" s="46" t="s">
        <v>463</v>
      </c>
      <c r="D810" s="45" t="s">
        <v>1241</v>
      </c>
      <c r="E810" s="12" t="s">
        <v>1320</v>
      </c>
    </row>
    <row r="811" spans="1:5" ht="78.75">
      <c r="A811" s="44">
        <v>798</v>
      </c>
      <c r="B811" s="45" t="s">
        <v>997</v>
      </c>
      <c r="C811" s="46" t="s">
        <v>1062</v>
      </c>
      <c r="D811" s="45" t="s">
        <v>1063</v>
      </c>
      <c r="E811" s="12" t="s">
        <v>1322</v>
      </c>
    </row>
    <row r="812" spans="1:5" ht="63">
      <c r="A812" s="44">
        <v>799</v>
      </c>
      <c r="B812" s="45" t="s">
        <v>997</v>
      </c>
      <c r="C812" s="46" t="s">
        <v>1064</v>
      </c>
      <c r="D812" s="45" t="s">
        <v>1065</v>
      </c>
      <c r="E812" s="12" t="s">
        <v>1322</v>
      </c>
    </row>
    <row r="813" spans="1:5" ht="94.5">
      <c r="A813" s="44">
        <v>800</v>
      </c>
      <c r="B813" s="45" t="s">
        <v>997</v>
      </c>
      <c r="C813" s="46" t="s">
        <v>1066</v>
      </c>
      <c r="D813" s="45" t="s">
        <v>1067</v>
      </c>
      <c r="E813" s="12" t="s">
        <v>1322</v>
      </c>
    </row>
    <row r="814" spans="1:5" ht="78.75">
      <c r="A814" s="44">
        <v>801</v>
      </c>
      <c r="B814" s="45" t="s">
        <v>997</v>
      </c>
      <c r="C814" s="46" t="s">
        <v>1068</v>
      </c>
      <c r="D814" s="45" t="s">
        <v>1069</v>
      </c>
      <c r="E814" s="12" t="s">
        <v>1322</v>
      </c>
    </row>
    <row r="815" spans="1:5" ht="78.75">
      <c r="A815" s="5"/>
      <c r="B815" s="6" t="s">
        <v>36</v>
      </c>
      <c r="C815" s="6" t="s">
        <v>1316</v>
      </c>
      <c r="D815" s="6" t="s">
        <v>1178</v>
      </c>
      <c r="E815" s="164" t="s">
        <v>1324</v>
      </c>
    </row>
    <row r="816" spans="1:5" ht="31.5">
      <c r="A816" s="47">
        <v>802</v>
      </c>
      <c r="B816" s="48" t="s">
        <v>36</v>
      </c>
      <c r="C816" s="49" t="s">
        <v>1070</v>
      </c>
      <c r="D816" s="48" t="s">
        <v>1071</v>
      </c>
      <c r="E816" s="12" t="s">
        <v>1322</v>
      </c>
    </row>
    <row r="817" spans="1:5" ht="63">
      <c r="A817" s="47">
        <v>803</v>
      </c>
      <c r="B817" s="48" t="s">
        <v>36</v>
      </c>
      <c r="C817" s="49" t="s">
        <v>1072</v>
      </c>
      <c r="D817" s="48" t="s">
        <v>1073</v>
      </c>
      <c r="E817" s="12" t="s">
        <v>1322</v>
      </c>
    </row>
    <row r="818" spans="1:5" ht="31.5">
      <c r="A818" s="47">
        <v>804</v>
      </c>
      <c r="B818" s="48" t="s">
        <v>36</v>
      </c>
      <c r="C818" s="49" t="s">
        <v>1074</v>
      </c>
      <c r="D818" s="48" t="s">
        <v>1075</v>
      </c>
      <c r="E818" s="12" t="s">
        <v>1322</v>
      </c>
    </row>
    <row r="819" spans="1:5" ht="31.5">
      <c r="A819" s="47">
        <v>805</v>
      </c>
      <c r="B819" s="48" t="s">
        <v>36</v>
      </c>
      <c r="C819" s="49" t="s">
        <v>1076</v>
      </c>
      <c r="D819" s="48" t="s">
        <v>1077</v>
      </c>
      <c r="E819" s="12" t="s">
        <v>1322</v>
      </c>
    </row>
    <row r="820" spans="1:5" ht="47.25">
      <c r="A820" s="47">
        <v>806</v>
      </c>
      <c r="B820" s="48" t="s">
        <v>36</v>
      </c>
      <c r="C820" s="49" t="s">
        <v>1078</v>
      </c>
      <c r="D820" s="48" t="s">
        <v>1079</v>
      </c>
      <c r="E820" s="12" t="s">
        <v>1322</v>
      </c>
    </row>
    <row r="821" spans="1:5" ht="47.25">
      <c r="A821" s="47">
        <v>807</v>
      </c>
      <c r="B821" s="48" t="s">
        <v>36</v>
      </c>
      <c r="C821" s="49" t="s">
        <v>1080</v>
      </c>
      <c r="D821" s="48" t="s">
        <v>1081</v>
      </c>
      <c r="E821" s="12" t="s">
        <v>1322</v>
      </c>
    </row>
    <row r="822" spans="1:5" ht="31.5">
      <c r="A822" s="47">
        <v>808</v>
      </c>
      <c r="B822" s="48" t="s">
        <v>36</v>
      </c>
      <c r="C822" s="49" t="s">
        <v>1082</v>
      </c>
      <c r="D822" s="48" t="s">
        <v>1083</v>
      </c>
      <c r="E822" s="12" t="s">
        <v>1322</v>
      </c>
    </row>
    <row r="823" spans="1:5" ht="31.5">
      <c r="A823" s="47">
        <v>809</v>
      </c>
      <c r="B823" s="48" t="s">
        <v>36</v>
      </c>
      <c r="C823" s="49" t="s">
        <v>1084</v>
      </c>
      <c r="D823" s="48" t="s">
        <v>1085</v>
      </c>
      <c r="E823" s="12" t="s">
        <v>1322</v>
      </c>
    </row>
    <row r="824" spans="1:5" ht="47.25">
      <c r="A824" s="47">
        <v>810</v>
      </c>
      <c r="B824" s="48" t="s">
        <v>36</v>
      </c>
      <c r="C824" s="49" t="s">
        <v>1086</v>
      </c>
      <c r="D824" s="48" t="s">
        <v>1087</v>
      </c>
      <c r="E824" s="12" t="s">
        <v>1321</v>
      </c>
    </row>
    <row r="825" spans="1:5" ht="31.5">
      <c r="A825" s="47">
        <v>811</v>
      </c>
      <c r="B825" s="48" t="s">
        <v>36</v>
      </c>
      <c r="C825" s="49" t="s">
        <v>1088</v>
      </c>
      <c r="D825" s="48" t="s">
        <v>1089</v>
      </c>
      <c r="E825" s="12" t="s">
        <v>1322</v>
      </c>
    </row>
    <row r="826" spans="1:5" ht="63">
      <c r="A826" s="47">
        <v>812</v>
      </c>
      <c r="B826" s="48" t="s">
        <v>36</v>
      </c>
      <c r="C826" s="49" t="s">
        <v>1090</v>
      </c>
      <c r="D826" s="48" t="s">
        <v>1091</v>
      </c>
      <c r="E826" s="12" t="s">
        <v>1320</v>
      </c>
    </row>
    <row r="827" spans="1:5" ht="47.25">
      <c r="A827" s="47">
        <v>813</v>
      </c>
      <c r="B827" s="48" t="s">
        <v>36</v>
      </c>
      <c r="C827" s="49" t="s">
        <v>1092</v>
      </c>
      <c r="D827" s="48" t="s">
        <v>1093</v>
      </c>
      <c r="E827" s="12" t="s">
        <v>1320</v>
      </c>
    </row>
    <row r="828" spans="1:5" ht="63">
      <c r="A828" s="47">
        <v>814</v>
      </c>
      <c r="B828" s="48" t="s">
        <v>36</v>
      </c>
      <c r="C828" s="49" t="s">
        <v>1094</v>
      </c>
      <c r="D828" s="48" t="s">
        <v>1095</v>
      </c>
      <c r="E828" s="12" t="s">
        <v>1320</v>
      </c>
    </row>
    <row r="829" spans="1:5" ht="47.25">
      <c r="A829" s="47">
        <v>815</v>
      </c>
      <c r="B829" s="48" t="s">
        <v>36</v>
      </c>
      <c r="C829" s="49" t="s">
        <v>1096</v>
      </c>
      <c r="D829" s="48" t="s">
        <v>1097</v>
      </c>
      <c r="E829" s="12" t="s">
        <v>1320</v>
      </c>
    </row>
    <row r="830" spans="1:5" ht="47.25">
      <c r="A830" s="47">
        <v>816</v>
      </c>
      <c r="B830" s="48" t="s">
        <v>36</v>
      </c>
      <c r="C830" s="49" t="s">
        <v>1098</v>
      </c>
      <c r="D830" s="48" t="s">
        <v>1099</v>
      </c>
      <c r="E830" s="12" t="s">
        <v>1320</v>
      </c>
    </row>
    <row r="831" spans="1:5" ht="31.5">
      <c r="A831" s="47">
        <v>817</v>
      </c>
      <c r="B831" s="48" t="s">
        <v>36</v>
      </c>
      <c r="C831" s="49" t="s">
        <v>1100</v>
      </c>
      <c r="D831" s="48" t="s">
        <v>1309</v>
      </c>
      <c r="E831" s="12" t="s">
        <v>1320</v>
      </c>
    </row>
    <row r="832" spans="1:5" ht="94.5">
      <c r="A832" s="47">
        <v>818</v>
      </c>
      <c r="B832" s="48" t="s">
        <v>36</v>
      </c>
      <c r="C832" s="49" t="s">
        <v>1101</v>
      </c>
      <c r="D832" s="48" t="s">
        <v>1310</v>
      </c>
      <c r="E832" s="12" t="s">
        <v>1320</v>
      </c>
    </row>
    <row r="833" spans="1:5" ht="31.5">
      <c r="A833" s="47">
        <v>819</v>
      </c>
      <c r="B833" s="48" t="s">
        <v>36</v>
      </c>
      <c r="C833" s="49" t="s">
        <v>1102</v>
      </c>
      <c r="D833" s="48" t="s">
        <v>1103</v>
      </c>
      <c r="E833" s="12" t="s">
        <v>1320</v>
      </c>
    </row>
    <row r="834" spans="1:5" ht="31.5">
      <c r="A834" s="47">
        <v>820</v>
      </c>
      <c r="B834" s="48" t="s">
        <v>36</v>
      </c>
      <c r="C834" s="49" t="s">
        <v>1104</v>
      </c>
      <c r="D834" s="48" t="s">
        <v>1105</v>
      </c>
      <c r="E834" s="12" t="s">
        <v>1320</v>
      </c>
    </row>
    <row r="835" spans="1:5" ht="94.5">
      <c r="A835" s="5"/>
      <c r="B835" s="6" t="s">
        <v>37</v>
      </c>
      <c r="C835" s="6" t="s">
        <v>1316</v>
      </c>
      <c r="D835" s="6" t="s">
        <v>1179</v>
      </c>
      <c r="E835" s="164" t="s">
        <v>1324</v>
      </c>
    </row>
    <row r="836" spans="1:5" ht="63">
      <c r="A836" s="50">
        <v>821</v>
      </c>
      <c r="B836" s="51" t="s">
        <v>37</v>
      </c>
      <c r="C836" s="52" t="s">
        <v>1106</v>
      </c>
      <c r="D836" s="52" t="s">
        <v>1107</v>
      </c>
      <c r="E836" s="56" t="s">
        <v>1320</v>
      </c>
    </row>
    <row r="837" spans="1:5" ht="110.25">
      <c r="A837" s="50">
        <v>822</v>
      </c>
      <c r="B837" s="51" t="s">
        <v>37</v>
      </c>
      <c r="C837" s="52" t="s">
        <v>1108</v>
      </c>
      <c r="D837" s="51" t="s">
        <v>1311</v>
      </c>
      <c r="E837" s="56" t="s">
        <v>1320</v>
      </c>
    </row>
    <row r="838" spans="1:5">
      <c r="A838" s="50">
        <v>823</v>
      </c>
      <c r="B838" s="51" t="s">
        <v>37</v>
      </c>
      <c r="C838" s="52" t="s">
        <v>1109</v>
      </c>
      <c r="D838" s="51" t="s">
        <v>1110</v>
      </c>
      <c r="E838" s="56" t="s">
        <v>1320</v>
      </c>
    </row>
    <row r="839" spans="1:5" ht="78.75">
      <c r="A839" s="50">
        <v>824</v>
      </c>
      <c r="B839" s="51" t="s">
        <v>37</v>
      </c>
      <c r="C839" s="52" t="s">
        <v>1111</v>
      </c>
      <c r="D839" s="51" t="s">
        <v>1112</v>
      </c>
      <c r="E839" s="56" t="s">
        <v>1320</v>
      </c>
    </row>
    <row r="840" spans="1:5" ht="47.25">
      <c r="A840" s="50">
        <v>825</v>
      </c>
      <c r="B840" s="51" t="s">
        <v>37</v>
      </c>
      <c r="C840" s="52" t="s">
        <v>1113</v>
      </c>
      <c r="D840" s="51" t="s">
        <v>1114</v>
      </c>
      <c r="E840" s="56" t="s">
        <v>1320</v>
      </c>
    </row>
    <row r="841" spans="1:5" ht="47.25">
      <c r="A841" s="50">
        <v>826</v>
      </c>
      <c r="B841" s="51" t="s">
        <v>37</v>
      </c>
      <c r="C841" s="52" t="s">
        <v>1115</v>
      </c>
      <c r="D841" s="51" t="s">
        <v>1116</v>
      </c>
      <c r="E841" s="56" t="s">
        <v>1320</v>
      </c>
    </row>
    <row r="842" spans="1:5" ht="47.25">
      <c r="A842" s="50">
        <v>827</v>
      </c>
      <c r="B842" s="51" t="s">
        <v>37</v>
      </c>
      <c r="C842" s="52" t="s">
        <v>1117</v>
      </c>
      <c r="D842" s="51" t="s">
        <v>1118</v>
      </c>
      <c r="E842" s="56" t="s">
        <v>1320</v>
      </c>
    </row>
    <row r="843" spans="1:5" ht="47.25">
      <c r="A843" s="50">
        <v>828</v>
      </c>
      <c r="B843" s="51" t="s">
        <v>37</v>
      </c>
      <c r="C843" s="52" t="s">
        <v>1119</v>
      </c>
      <c r="D843" s="51" t="s">
        <v>1120</v>
      </c>
      <c r="E843" s="56" t="s">
        <v>1320</v>
      </c>
    </row>
    <row r="844" spans="1:5" ht="63">
      <c r="A844" s="50">
        <v>829</v>
      </c>
      <c r="B844" s="51" t="s">
        <v>37</v>
      </c>
      <c r="C844" s="52" t="s">
        <v>1121</v>
      </c>
      <c r="D844" s="51" t="s">
        <v>1312</v>
      </c>
      <c r="E844" s="56" t="s">
        <v>1320</v>
      </c>
    </row>
    <row r="845" spans="1:5" ht="78.75">
      <c r="A845" s="50">
        <v>830</v>
      </c>
      <c r="B845" s="51" t="s">
        <v>37</v>
      </c>
      <c r="C845" s="52" t="s">
        <v>1122</v>
      </c>
      <c r="D845" s="52" t="s">
        <v>1123</v>
      </c>
      <c r="E845" s="56" t="s">
        <v>1320</v>
      </c>
    </row>
    <row r="846" spans="1:5" ht="110.25">
      <c r="A846" s="50">
        <v>831</v>
      </c>
      <c r="B846" s="51" t="s">
        <v>37</v>
      </c>
      <c r="C846" s="52" t="s">
        <v>1124</v>
      </c>
      <c r="D846" s="51" t="s">
        <v>1313</v>
      </c>
      <c r="E846" s="56" t="s">
        <v>1320</v>
      </c>
    </row>
    <row r="847" spans="1:5" ht="63">
      <c r="A847" s="50">
        <v>832</v>
      </c>
      <c r="B847" s="51" t="s">
        <v>37</v>
      </c>
      <c r="C847" s="52" t="s">
        <v>1125</v>
      </c>
      <c r="D847" s="51" t="s">
        <v>1126</v>
      </c>
      <c r="E847" s="56" t="s">
        <v>1320</v>
      </c>
    </row>
    <row r="848" spans="1:5" ht="31.5">
      <c r="A848" s="50">
        <v>833</v>
      </c>
      <c r="B848" s="51" t="s">
        <v>37</v>
      </c>
      <c r="C848" s="52" t="s">
        <v>1127</v>
      </c>
      <c r="D848" s="51" t="s">
        <v>1128</v>
      </c>
      <c r="E848" s="56" t="s">
        <v>1320</v>
      </c>
    </row>
    <row r="849" spans="1:5" ht="31.5">
      <c r="A849" s="50">
        <v>834</v>
      </c>
      <c r="B849" s="51" t="s">
        <v>37</v>
      </c>
      <c r="C849" s="52" t="s">
        <v>1129</v>
      </c>
      <c r="D849" s="51" t="s">
        <v>1130</v>
      </c>
      <c r="E849" s="56" t="s">
        <v>1320</v>
      </c>
    </row>
    <row r="850" spans="1:5" ht="78.75">
      <c r="A850" s="50">
        <v>835</v>
      </c>
      <c r="B850" s="51" t="s">
        <v>37</v>
      </c>
      <c r="C850" s="52" t="s">
        <v>1131</v>
      </c>
      <c r="D850" s="51" t="s">
        <v>1132</v>
      </c>
      <c r="E850" s="56" t="s">
        <v>1320</v>
      </c>
    </row>
    <row r="851" spans="1:5" ht="63">
      <c r="A851" s="50">
        <v>836</v>
      </c>
      <c r="B851" s="51" t="s">
        <v>37</v>
      </c>
      <c r="C851" s="52" t="s">
        <v>1133</v>
      </c>
      <c r="D851" s="51" t="s">
        <v>1134</v>
      </c>
      <c r="E851" s="56" t="s">
        <v>1320</v>
      </c>
    </row>
    <row r="852" spans="1:5" ht="47.25">
      <c r="A852" s="50">
        <v>837</v>
      </c>
      <c r="B852" s="51" t="s">
        <v>37</v>
      </c>
      <c r="C852" s="52" t="s">
        <v>1135</v>
      </c>
      <c r="D852" s="51" t="s">
        <v>1136</v>
      </c>
      <c r="E852" s="56" t="s">
        <v>1320</v>
      </c>
    </row>
    <row r="853" spans="1:5" ht="47.25">
      <c r="A853" s="50">
        <v>838</v>
      </c>
      <c r="B853" s="51" t="s">
        <v>37</v>
      </c>
      <c r="C853" s="52" t="s">
        <v>1137</v>
      </c>
      <c r="D853" s="51" t="s">
        <v>1138</v>
      </c>
      <c r="E853" s="56" t="s">
        <v>1320</v>
      </c>
    </row>
    <row r="854" spans="1:5" ht="47.25">
      <c r="A854" s="50">
        <v>839</v>
      </c>
      <c r="B854" s="51" t="s">
        <v>37</v>
      </c>
      <c r="C854" s="52" t="s">
        <v>1139</v>
      </c>
      <c r="D854" s="51" t="s">
        <v>1140</v>
      </c>
      <c r="E854" s="56" t="s">
        <v>1320</v>
      </c>
    </row>
    <row r="855" spans="1:5" ht="63">
      <c r="A855" s="50">
        <v>840</v>
      </c>
      <c r="B855" s="51" t="s">
        <v>37</v>
      </c>
      <c r="C855" s="52" t="s">
        <v>1141</v>
      </c>
      <c r="D855" s="51" t="s">
        <v>1142</v>
      </c>
      <c r="E855" s="56" t="s">
        <v>1320</v>
      </c>
    </row>
    <row r="856" spans="1:5" ht="63">
      <c r="A856" s="50">
        <v>841</v>
      </c>
      <c r="B856" s="51" t="s">
        <v>37</v>
      </c>
      <c r="C856" s="52" t="s">
        <v>1143</v>
      </c>
      <c r="D856" s="51" t="s">
        <v>1144</v>
      </c>
      <c r="E856" s="56" t="s">
        <v>1320</v>
      </c>
    </row>
    <row r="857" spans="1:5" ht="31.5">
      <c r="A857" s="50">
        <v>842</v>
      </c>
      <c r="B857" s="51" t="s">
        <v>37</v>
      </c>
      <c r="C857" s="52" t="s">
        <v>1145</v>
      </c>
      <c r="D857" s="51" t="s">
        <v>1146</v>
      </c>
      <c r="E857" s="56" t="s">
        <v>1320</v>
      </c>
    </row>
    <row r="858" spans="1:5" ht="78.75">
      <c r="A858" s="50">
        <v>843</v>
      </c>
      <c r="B858" s="51" t="s">
        <v>37</v>
      </c>
      <c r="C858" s="52" t="s">
        <v>1147</v>
      </c>
      <c r="D858" s="51" t="s">
        <v>1148</v>
      </c>
      <c r="E858" s="56" t="s">
        <v>1320</v>
      </c>
    </row>
    <row r="859" spans="1:5" ht="78.75">
      <c r="A859" s="50">
        <v>844</v>
      </c>
      <c r="B859" s="51" t="s">
        <v>37</v>
      </c>
      <c r="C859" s="52" t="s">
        <v>1149</v>
      </c>
      <c r="D859" s="52" t="s">
        <v>1150</v>
      </c>
      <c r="E859" s="56" t="s">
        <v>1320</v>
      </c>
    </row>
    <row r="860" spans="1:5" ht="94.5">
      <c r="A860" s="50">
        <v>845</v>
      </c>
      <c r="B860" s="51" t="s">
        <v>37</v>
      </c>
      <c r="C860" s="52" t="s">
        <v>1151</v>
      </c>
      <c r="D860" s="51" t="s">
        <v>1152</v>
      </c>
      <c r="E860" s="56" t="s">
        <v>1320</v>
      </c>
    </row>
    <row r="861" spans="1:5" ht="31.5">
      <c r="A861" s="50">
        <v>846</v>
      </c>
      <c r="B861" s="51" t="s">
        <v>37</v>
      </c>
      <c r="C861" s="52" t="s">
        <v>1153</v>
      </c>
      <c r="D861" s="51" t="s">
        <v>1154</v>
      </c>
      <c r="E861" s="56" t="s">
        <v>1322</v>
      </c>
    </row>
    <row r="862" spans="1:5" ht="31.5">
      <c r="A862" s="50">
        <v>847</v>
      </c>
      <c r="B862" s="51" t="s">
        <v>37</v>
      </c>
      <c r="C862" s="52" t="s">
        <v>1155</v>
      </c>
      <c r="D862" s="51" t="s">
        <v>1156</v>
      </c>
      <c r="E862" s="56" t="s">
        <v>1321</v>
      </c>
    </row>
    <row r="863" spans="1:5" ht="31.5">
      <c r="A863" s="50">
        <v>848</v>
      </c>
      <c r="B863" s="51" t="s">
        <v>37</v>
      </c>
      <c r="C863" s="52" t="s">
        <v>1157</v>
      </c>
      <c r="D863" s="51" t="s">
        <v>1158</v>
      </c>
      <c r="E863" s="56" t="s">
        <v>1321</v>
      </c>
    </row>
    <row r="864" spans="1:5" ht="78.75">
      <c r="A864" s="50">
        <v>849</v>
      </c>
      <c r="B864" s="51" t="s">
        <v>37</v>
      </c>
      <c r="C864" s="52" t="s">
        <v>1159</v>
      </c>
      <c r="D864" s="51" t="s">
        <v>1160</v>
      </c>
      <c r="E864" s="56" t="s">
        <v>1321</v>
      </c>
    </row>
    <row r="865" spans="1:7" ht="31.5">
      <c r="A865" s="50">
        <v>850</v>
      </c>
      <c r="B865" s="51" t="s">
        <v>37</v>
      </c>
      <c r="C865" s="52" t="s">
        <v>1161</v>
      </c>
      <c r="D865" s="51" t="s">
        <v>1162</v>
      </c>
      <c r="E865" s="56" t="s">
        <v>1322</v>
      </c>
    </row>
    <row r="866" spans="1:7" ht="47.25">
      <c r="A866" s="50">
        <v>851</v>
      </c>
      <c r="B866" s="51" t="s">
        <v>37</v>
      </c>
      <c r="C866" s="52" t="s">
        <v>1163</v>
      </c>
      <c r="D866" s="51" t="s">
        <v>1164</v>
      </c>
      <c r="E866" s="56" t="s">
        <v>1322</v>
      </c>
    </row>
    <row r="867" spans="1:7" ht="63.75" thickBot="1">
      <c r="A867" s="53">
        <v>852</v>
      </c>
      <c r="B867" s="54" t="s">
        <v>37</v>
      </c>
      <c r="C867" s="55" t="s">
        <v>1165</v>
      </c>
      <c r="D867" s="55" t="s">
        <v>1166</v>
      </c>
      <c r="E867" s="56" t="s">
        <v>1322</v>
      </c>
    </row>
    <row r="868" spans="1:7" ht="16.5" thickBot="1">
      <c r="A868" s="64"/>
      <c r="B868" s="66"/>
      <c r="C868" s="66"/>
      <c r="D868" s="66"/>
      <c r="E868" s="105" t="s">
        <v>1326</v>
      </c>
      <c r="F868" s="8"/>
    </row>
    <row r="869" spans="1:7" ht="15.75" customHeight="1">
      <c r="A869" s="59"/>
      <c r="B869" s="99" t="s">
        <v>1325</v>
      </c>
      <c r="C869" s="67" t="s">
        <v>1320</v>
      </c>
      <c r="D869" s="102">
        <f>COUNTIF(E2:E867, "Oui")</f>
        <v>310</v>
      </c>
      <c r="E869" s="106">
        <f>B870 - D871</f>
        <v>560</v>
      </c>
      <c r="F869" s="8"/>
    </row>
    <row r="870" spans="1:7">
      <c r="A870" s="59"/>
      <c r="B870" s="100">
        <v>852</v>
      </c>
      <c r="C870" s="10" t="s">
        <v>1321</v>
      </c>
      <c r="D870" s="103">
        <f>COUNTIF(E2:E867, "Non")</f>
        <v>252</v>
      </c>
      <c r="E870" s="159">
        <f>(D869 / E869) * 100</f>
        <v>55.357142857142861</v>
      </c>
      <c r="F870" s="8"/>
    </row>
    <row r="871" spans="1:7" ht="16.5" thickBot="1">
      <c r="A871" s="59"/>
      <c r="B871" s="101"/>
      <c r="C871" s="68" t="s">
        <v>1322</v>
      </c>
      <c r="D871" s="104">
        <f>COUNTIF(E2:E867, "Non-Concerné")</f>
        <v>292</v>
      </c>
      <c r="E871" s="159"/>
      <c r="F871" s="8"/>
    </row>
    <row r="872" spans="1:7" ht="16.5" thickBot="1">
      <c r="A872" s="64"/>
      <c r="B872" s="59"/>
      <c r="C872" s="59"/>
      <c r="D872" s="59"/>
      <c r="E872" s="160"/>
      <c r="F872" s="8"/>
    </row>
    <row r="873" spans="1:7" ht="16.5" thickBot="1">
      <c r="A873" s="64"/>
      <c r="B873" s="62"/>
      <c r="C873" s="63"/>
      <c r="D873" s="63"/>
      <c r="E873" s="60"/>
      <c r="F873" s="8"/>
    </row>
    <row r="874" spans="1:7">
      <c r="A874" s="59"/>
      <c r="B874" s="69" t="s">
        <v>1314</v>
      </c>
      <c r="C874" s="70" t="s">
        <v>1320</v>
      </c>
      <c r="D874" s="70" t="s">
        <v>1321</v>
      </c>
      <c r="E874" s="112" t="s">
        <v>1322</v>
      </c>
      <c r="F874" s="71" t="s">
        <v>1327</v>
      </c>
      <c r="G874" s="8"/>
    </row>
    <row r="875" spans="1:7">
      <c r="A875" s="107">
        <v>44</v>
      </c>
      <c r="B875" s="72" t="s">
        <v>0</v>
      </c>
      <c r="C875" s="73">
        <f>COUNTIFS(E3:E46, "Oui", B3:B46, "Reconnaissance")</f>
        <v>8</v>
      </c>
      <c r="D875" s="73">
        <f>COUNTIFS(E3:E46, "Non", B3:B46, "Reconnaissance")</f>
        <v>20</v>
      </c>
      <c r="E875" s="113">
        <f>COUNTIFS(E3:E46, "Non-Concerné", B3:B46, "Reconnaissance")</f>
        <v>16</v>
      </c>
      <c r="F875" s="127">
        <f>(C875) / (A875 - E875)</f>
        <v>0.2857142857142857</v>
      </c>
      <c r="G875" s="8"/>
    </row>
    <row r="876" spans="1:7">
      <c r="A876" s="107">
        <v>47</v>
      </c>
      <c r="B876" s="74" t="s">
        <v>174</v>
      </c>
      <c r="C876" s="75">
        <f>COUNTIFS(E48:E94, "Oui", B48:B94, "Développement des ressources")</f>
        <v>10</v>
      </c>
      <c r="D876" s="75">
        <f>COUNTIFS(E48:E94, "Non", B48:B94, "Développement des ressources")</f>
        <v>7</v>
      </c>
      <c r="E876" s="114">
        <f>COUNTIFS(E48:E94, "Non-Concerné", B48:B94, "Développement des ressources")</f>
        <v>30</v>
      </c>
      <c r="F876" s="128">
        <f>(C876) / (A876 - E876)</f>
        <v>0.58823529411764708</v>
      </c>
      <c r="G876" s="8"/>
    </row>
    <row r="877" spans="1:7">
      <c r="A877" s="107">
        <v>21</v>
      </c>
      <c r="B877" s="76" t="s">
        <v>185</v>
      </c>
      <c r="C877" s="77">
        <f>COUNTIFS(E96:E116, "Oui", B96:B116, "Accès initial")</f>
        <v>11</v>
      </c>
      <c r="D877" s="77">
        <f>COUNTIFS(E96:E116, "Non", B96:B116, "Accès initial")</f>
        <v>0</v>
      </c>
      <c r="E877" s="115">
        <f>COUNTIFS(E96:E116, "Non-Concerné", B96:B116, "Accès initial")</f>
        <v>10</v>
      </c>
      <c r="F877" s="111">
        <f>(C877) / (A877 - E877)</f>
        <v>1</v>
      </c>
      <c r="G877" s="8"/>
    </row>
    <row r="878" spans="1:7">
      <c r="A878" s="107">
        <v>38</v>
      </c>
      <c r="B878" s="78" t="s">
        <v>222</v>
      </c>
      <c r="C878" s="79">
        <f>COUNTIFS(E118:E155, "Oui", B118:B155, "Exécution")</f>
        <v>19</v>
      </c>
      <c r="D878" s="79">
        <f>COUNTIFS(E118:E155, "Non", B118:B155, "Exécution")</f>
        <v>9</v>
      </c>
      <c r="E878" s="116">
        <f>COUNTIFS(E118:E155, "Non-Concerné", B118:B155, "Exécution")</f>
        <v>10</v>
      </c>
      <c r="F878" s="110">
        <f>(C878) / (A878 - E878)</f>
        <v>0.6785714285714286</v>
      </c>
      <c r="G878" s="8"/>
    </row>
    <row r="879" spans="1:7">
      <c r="A879" s="107">
        <v>120</v>
      </c>
      <c r="B879" s="80" t="s">
        <v>278</v>
      </c>
      <c r="C879" s="81">
        <f>COUNTIFS(E157:E276, "Oui", B157:B276, "Persistance")</f>
        <v>35</v>
      </c>
      <c r="D879" s="81">
        <f>COUNTIFS(E157:E276, "Non", B157:B276, "Persistance")</f>
        <v>37</v>
      </c>
      <c r="E879" s="117">
        <f>COUNTIFS(E157:E276, "Non-Concerné", B157:B276, "Persistance")</f>
        <v>48</v>
      </c>
      <c r="F879" s="129">
        <f>(C879) / (A879 - E879)</f>
        <v>0.4861111111111111</v>
      </c>
      <c r="G879" s="8"/>
    </row>
    <row r="880" spans="1:7">
      <c r="A880" s="107">
        <v>109</v>
      </c>
      <c r="B880" s="82" t="s">
        <v>464</v>
      </c>
      <c r="C880" s="83">
        <f>COUNTIFS(E278:E386, "Oui", B278:B386, "Élévation des privilèges")</f>
        <v>27</v>
      </c>
      <c r="D880" s="83">
        <f>COUNTIFS(E278:E386, "Non", B278:B386, "Élévation des privilèges")</f>
        <v>49</v>
      </c>
      <c r="E880" s="118">
        <f>COUNTIFS(E278:E386, "Non-Concerné", B278:B386, "Élévation des privilèges")</f>
        <v>33</v>
      </c>
      <c r="F880" s="130">
        <f t="shared" ref="F880:F888" si="0">(C880) / (A880 - E880)</f>
        <v>0.35526315789473684</v>
      </c>
      <c r="G880" s="8"/>
    </row>
    <row r="881" spans="1:7">
      <c r="A881" s="107">
        <v>204</v>
      </c>
      <c r="B881" s="84" t="s">
        <v>521</v>
      </c>
      <c r="C881" s="85">
        <f>COUNTIFS(E388:E591, "Oui", B388:B591, "Évasion défensive")</f>
        <v>75</v>
      </c>
      <c r="D881" s="85">
        <f>COUNTIFS(E388:E591, "Non", B388:B591, "Évasion défensive")</f>
        <v>72</v>
      </c>
      <c r="E881" s="119">
        <f>COUNTIFS(E388:E591, "Non-Concerné", B388:B591, "Évasion défensive")</f>
        <v>57</v>
      </c>
      <c r="F881" s="131">
        <f t="shared" si="0"/>
        <v>0.51020408163265307</v>
      </c>
      <c r="G881" s="8"/>
    </row>
    <row r="882" spans="1:7" ht="31.5">
      <c r="A882" s="107">
        <v>67</v>
      </c>
      <c r="B882" s="86" t="s">
        <v>750</v>
      </c>
      <c r="C882" s="87">
        <f>COUNTIFS(E593:E659, "Oui", B593:B659, "Accès aux informations d'identification")</f>
        <v>6</v>
      </c>
      <c r="D882" s="87">
        <f>COUNTIFS(E593:E659, "Non", B593:B659, "Accès aux informations d'identification")</f>
        <v>23</v>
      </c>
      <c r="E882" s="120">
        <f>COUNTIFS(E593:E659, "Non-Concerné", B593:B659, "Accès aux informations d'identification")</f>
        <v>38</v>
      </c>
      <c r="F882" s="132">
        <f t="shared" si="0"/>
        <v>0.20689655172413793</v>
      </c>
      <c r="G882" s="8"/>
    </row>
    <row r="883" spans="1:7">
      <c r="A883" s="107">
        <v>46</v>
      </c>
      <c r="B883" s="88" t="s">
        <v>847</v>
      </c>
      <c r="C883" s="89">
        <f>COUNTIFS(E661:E706, "Oui", B661:B706, "Découverte")</f>
        <v>11</v>
      </c>
      <c r="D883" s="89">
        <f>COUNTIFS(E661:E706, "Non", B661:B706, "Découverte")</f>
        <v>13</v>
      </c>
      <c r="E883" s="121">
        <f>COUNTIFS(E661:E706, "Non-Concerné", B661:B706, "Découverte")</f>
        <v>22</v>
      </c>
      <c r="F883" s="133">
        <f t="shared" si="0"/>
        <v>0.45833333333333331</v>
      </c>
      <c r="G883" s="8"/>
    </row>
    <row r="884" spans="1:7">
      <c r="A884" s="107">
        <v>23</v>
      </c>
      <c r="B884" s="90" t="s">
        <v>914</v>
      </c>
      <c r="C884" s="91">
        <f>COUNTIFS(E708:E730, "Oui", B708:B730, "Mouvement latéral")</f>
        <v>18</v>
      </c>
      <c r="D884" s="91">
        <f>COUNTIFS(E708:E730, "Non", B708:B730, "Mouvement latéral")</f>
        <v>0</v>
      </c>
      <c r="E884" s="122">
        <f>COUNTIFS(E708:E730, "Non-Concerné", B708:B730, "Mouvement latéral")</f>
        <v>5</v>
      </c>
      <c r="F884" s="134">
        <f t="shared" si="0"/>
        <v>1</v>
      </c>
      <c r="G884" s="8"/>
    </row>
    <row r="885" spans="1:7">
      <c r="A885" s="107">
        <v>40</v>
      </c>
      <c r="B885" s="92" t="s">
        <v>33</v>
      </c>
      <c r="C885" s="93">
        <f>COUNTIFS(E732:E771, "Oui", B732:B771, "Collection")</f>
        <v>34</v>
      </c>
      <c r="D885" s="93">
        <f>COUNTIFS(E732:E771, "Non", B732:B771, "Collection")</f>
        <v>6</v>
      </c>
      <c r="E885" s="123">
        <f>COUNTIFS(E732:E771, "Non-Concerné", B732:B771, "Collection")</f>
        <v>0</v>
      </c>
      <c r="F885" s="135">
        <f t="shared" si="0"/>
        <v>0.85</v>
      </c>
      <c r="G885" s="8"/>
    </row>
    <row r="886" spans="1:7">
      <c r="A886" s="107">
        <v>42</v>
      </c>
      <c r="B886" s="94" t="s">
        <v>997</v>
      </c>
      <c r="C886" s="95">
        <f>COUNTIFS(E773:E814, "Oui", B773:B814, "Commande et contrôle")</f>
        <v>21</v>
      </c>
      <c r="D886" s="95">
        <f>COUNTIFS(E773:E814, "Non", B773:B814, "Commande et contrôle")</f>
        <v>12</v>
      </c>
      <c r="E886" s="124">
        <f>COUNTIFS(E773:E814, "Non-Concerné", B773:B814, "Commande et contrôle")</f>
        <v>9</v>
      </c>
      <c r="F886" s="127">
        <f t="shared" si="0"/>
        <v>0.63636363636363635</v>
      </c>
      <c r="G886" s="8"/>
    </row>
    <row r="887" spans="1:7">
      <c r="A887" s="107">
        <v>19</v>
      </c>
      <c r="B887" s="96" t="s">
        <v>36</v>
      </c>
      <c r="C887" s="97">
        <f>COUNTIFS(E816:E834, "Oui", B816:B834, "Exfiltration")</f>
        <v>9</v>
      </c>
      <c r="D887" s="97">
        <f>COUNTIFS(E816:E834, "Non", B816:B834, "Exfiltration")</f>
        <v>1</v>
      </c>
      <c r="E887" s="125">
        <f>COUNTIFS(E816:E834, "Non-Concerné", B816:B834, "Exfiltration")</f>
        <v>9</v>
      </c>
      <c r="F887" s="136">
        <f t="shared" si="0"/>
        <v>0.9</v>
      </c>
      <c r="G887" s="8"/>
    </row>
    <row r="888" spans="1:7" ht="16.5" thickBot="1">
      <c r="A888" s="107">
        <v>32</v>
      </c>
      <c r="B888" s="98" t="s">
        <v>37</v>
      </c>
      <c r="C888" s="109">
        <f>COUNTIFS(E836:E867, "Oui", B836:B867, "Impact")</f>
        <v>25</v>
      </c>
      <c r="D888" s="109">
        <f>COUNTIFS(E836:E867, "Non", B836:B867, "Impact")</f>
        <v>3</v>
      </c>
      <c r="E888" s="126">
        <f>COUNTIFS(E836:E867, "Non-Concerné", B836:B867, "Impact")</f>
        <v>4</v>
      </c>
      <c r="F888" s="137">
        <f t="shared" si="0"/>
        <v>0.8928571428571429</v>
      </c>
      <c r="G888" s="8"/>
    </row>
    <row r="889" spans="1:7">
      <c r="A889" s="64"/>
      <c r="B889" s="57"/>
      <c r="C889" s="59"/>
      <c r="D889" s="59"/>
      <c r="E889" s="59"/>
      <c r="F889" s="59"/>
      <c r="G889" s="8"/>
    </row>
    <row r="890" spans="1:7">
      <c r="A890" s="64"/>
      <c r="B890" s="9"/>
      <c r="C890" s="59"/>
      <c r="D890" s="59"/>
      <c r="E890" s="59"/>
      <c r="F890" s="59"/>
      <c r="G890" s="8"/>
    </row>
    <row r="891" spans="1:7">
      <c r="A891" s="64"/>
      <c r="B891" s="9"/>
      <c r="C891" s="59"/>
      <c r="D891" s="59"/>
      <c r="E891" s="59"/>
      <c r="F891" s="59"/>
      <c r="G891" s="8"/>
    </row>
    <row r="892" spans="1:7">
      <c r="A892" s="64"/>
      <c r="B892" s="9"/>
      <c r="C892" s="59"/>
      <c r="D892" s="59"/>
      <c r="E892" s="59"/>
      <c r="F892" s="59"/>
      <c r="G892" s="8"/>
    </row>
    <row r="893" spans="1:7">
      <c r="A893" s="61"/>
      <c r="B893" s="9"/>
      <c r="C893" s="59"/>
      <c r="D893" s="59"/>
      <c r="E893" s="59"/>
      <c r="F893" s="59"/>
      <c r="G893" s="8"/>
    </row>
    <row r="894" spans="1:7">
      <c r="A894" s="139"/>
      <c r="B894" s="108"/>
      <c r="C894" s="59"/>
      <c r="D894" s="59"/>
      <c r="E894" s="59"/>
      <c r="F894" s="59"/>
      <c r="G894" s="8"/>
    </row>
    <row r="895" spans="1:7">
      <c r="A895" s="139"/>
      <c r="B895" s="108"/>
      <c r="C895" s="59"/>
      <c r="D895" s="59"/>
      <c r="E895" s="59"/>
      <c r="F895" s="59"/>
      <c r="G895" s="8"/>
    </row>
    <row r="896" spans="1:7">
      <c r="A896" s="139"/>
      <c r="B896" s="108"/>
      <c r="C896" s="59"/>
      <c r="D896" s="59"/>
      <c r="E896" s="59"/>
      <c r="F896" s="59"/>
      <c r="G896" s="8"/>
    </row>
    <row r="897" spans="1:7">
      <c r="A897" s="139"/>
      <c r="B897" s="108"/>
      <c r="C897" s="59"/>
      <c r="D897" s="59"/>
      <c r="E897" s="59"/>
      <c r="F897" s="59"/>
      <c r="G897" s="8"/>
    </row>
    <row r="898" spans="1:7">
      <c r="A898" s="139"/>
      <c r="B898" s="108"/>
      <c r="C898" s="59"/>
      <c r="D898" s="59"/>
      <c r="E898" s="59"/>
      <c r="F898" s="59"/>
      <c r="G898" s="8"/>
    </row>
    <row r="899" spans="1:7">
      <c r="A899" s="139"/>
      <c r="B899" s="108"/>
      <c r="C899" s="59"/>
      <c r="D899" s="59"/>
      <c r="E899" s="59"/>
      <c r="F899" s="59"/>
      <c r="G899" s="8"/>
    </row>
    <row r="900" spans="1:7">
      <c r="A900" s="139"/>
      <c r="B900" s="108"/>
      <c r="C900" s="59"/>
      <c r="D900" s="59"/>
      <c r="E900" s="59"/>
      <c r="F900" s="59"/>
      <c r="G900" s="8"/>
    </row>
    <row r="901" spans="1:7">
      <c r="A901" s="139"/>
      <c r="B901" s="108"/>
      <c r="C901" s="59"/>
      <c r="D901" s="59"/>
      <c r="E901" s="59"/>
      <c r="F901" s="59"/>
      <c r="G901" s="8"/>
    </row>
    <row r="902" spans="1:7">
      <c r="A902" s="139"/>
      <c r="B902" s="108"/>
      <c r="C902" s="59"/>
      <c r="D902" s="59"/>
      <c r="E902" s="59"/>
      <c r="F902" s="59"/>
      <c r="G902" s="8"/>
    </row>
    <row r="903" spans="1:7">
      <c r="A903" s="139"/>
      <c r="B903" s="108"/>
      <c r="C903" s="59"/>
      <c r="D903" s="59"/>
      <c r="E903" s="59"/>
      <c r="F903" s="59"/>
      <c r="G903" s="8"/>
    </row>
    <row r="904" spans="1:7">
      <c r="A904" s="139"/>
      <c r="B904" s="108"/>
      <c r="C904" s="59"/>
      <c r="D904" s="59"/>
      <c r="E904" s="59"/>
      <c r="F904" s="59"/>
      <c r="G904" s="8"/>
    </row>
    <row r="905" spans="1:7">
      <c r="A905" s="139"/>
      <c r="B905" s="108"/>
      <c r="C905" s="59"/>
      <c r="D905" s="59"/>
      <c r="E905" s="59"/>
      <c r="F905" s="59"/>
      <c r="G905" s="8"/>
    </row>
    <row r="906" spans="1:7">
      <c r="A906" s="139"/>
      <c r="B906" s="108"/>
      <c r="C906" s="59"/>
      <c r="D906" s="59"/>
      <c r="E906" s="59"/>
      <c r="F906" s="59"/>
      <c r="G906" s="8"/>
    </row>
    <row r="907" spans="1:7">
      <c r="A907" s="139"/>
      <c r="B907" s="108"/>
      <c r="C907" s="59"/>
      <c r="D907" s="59"/>
      <c r="E907" s="59"/>
      <c r="F907" s="59"/>
      <c r="G907" s="8"/>
    </row>
    <row r="908" spans="1:7">
      <c r="A908" s="139"/>
      <c r="B908" s="108"/>
      <c r="C908" s="59"/>
      <c r="D908" s="59"/>
      <c r="E908" s="59"/>
      <c r="F908" s="59"/>
      <c r="G908" s="8"/>
    </row>
    <row r="909" spans="1:7">
      <c r="A909" s="139"/>
      <c r="B909" s="108"/>
      <c r="C909" s="59"/>
      <c r="D909" s="59"/>
      <c r="E909" s="59"/>
      <c r="F909" s="59"/>
      <c r="G909" s="8"/>
    </row>
    <row r="910" spans="1:7">
      <c r="A910" s="139"/>
      <c r="B910" s="108"/>
      <c r="C910" s="59"/>
      <c r="D910" s="59"/>
      <c r="E910" s="59"/>
      <c r="F910" s="59"/>
      <c r="G910" s="8"/>
    </row>
    <row r="911" spans="1:7">
      <c r="A911" s="139"/>
      <c r="B911" s="108"/>
      <c r="C911" s="59"/>
      <c r="D911" s="59"/>
      <c r="E911" s="59"/>
      <c r="F911" s="59"/>
      <c r="G911" s="8"/>
    </row>
    <row r="912" spans="1:7">
      <c r="A912" s="139"/>
      <c r="B912" s="108"/>
      <c r="C912" s="59"/>
      <c r="D912" s="59"/>
      <c r="E912" s="59"/>
      <c r="F912" s="59"/>
      <c r="G912" s="8"/>
    </row>
    <row r="913" spans="1:7">
      <c r="A913" s="139"/>
      <c r="B913" s="108"/>
      <c r="C913" s="59"/>
      <c r="D913" s="59"/>
      <c r="E913" s="59"/>
      <c r="F913" s="59"/>
      <c r="G913" s="8"/>
    </row>
    <row r="914" spans="1:7">
      <c r="A914" s="139"/>
      <c r="B914" s="108"/>
      <c r="C914" s="59"/>
      <c r="D914" s="59"/>
      <c r="E914" s="59"/>
      <c r="F914" s="59"/>
      <c r="G914" s="8"/>
    </row>
    <row r="915" spans="1:7">
      <c r="A915" s="139"/>
      <c r="B915" s="108"/>
      <c r="C915" s="59"/>
      <c r="D915" s="59"/>
      <c r="E915" s="59"/>
      <c r="F915" s="59"/>
      <c r="G915" s="8"/>
    </row>
    <row r="916" spans="1:7">
      <c r="A916" s="139"/>
      <c r="B916" s="108"/>
      <c r="C916" s="59"/>
      <c r="D916" s="59"/>
      <c r="E916" s="59"/>
      <c r="F916" s="59"/>
      <c r="G916" s="8"/>
    </row>
    <row r="917" spans="1:7">
      <c r="A917" s="139"/>
      <c r="B917" s="108"/>
      <c r="C917" s="59"/>
      <c r="D917" s="59"/>
      <c r="E917" s="59"/>
      <c r="F917" s="59"/>
      <c r="G917" s="8"/>
    </row>
    <row r="918" spans="1:7">
      <c r="A918" s="139"/>
      <c r="B918" s="108"/>
      <c r="C918" s="59"/>
      <c r="D918" s="59"/>
      <c r="E918" s="59"/>
      <c r="F918" s="59"/>
      <c r="G918" s="8"/>
    </row>
    <row r="919" spans="1:7">
      <c r="A919" s="139"/>
      <c r="B919" s="108"/>
      <c r="C919" s="59"/>
      <c r="D919" s="59"/>
      <c r="E919" s="59"/>
      <c r="F919" s="59"/>
      <c r="G919" s="8"/>
    </row>
    <row r="920" spans="1:7">
      <c r="A920" s="139"/>
      <c r="B920" s="108"/>
      <c r="C920" s="59"/>
      <c r="D920" s="59"/>
      <c r="E920" s="59"/>
      <c r="F920" s="59"/>
      <c r="G920" s="8"/>
    </row>
    <row r="921" spans="1:7">
      <c r="A921" s="139"/>
      <c r="B921" s="108"/>
      <c r="C921" s="59"/>
      <c r="D921" s="59"/>
      <c r="E921" s="59"/>
      <c r="F921" s="59"/>
      <c r="G921" s="8"/>
    </row>
    <row r="922" spans="1:7" ht="16.5" thickBot="1">
      <c r="A922" s="139"/>
      <c r="B922" s="108"/>
      <c r="C922" s="59"/>
      <c r="D922" s="59"/>
      <c r="E922" s="59"/>
      <c r="F922" s="59"/>
      <c r="G922" s="8"/>
    </row>
    <row r="923" spans="1:7" ht="16.5" thickBot="1">
      <c r="A923" s="139"/>
      <c r="B923" s="108"/>
      <c r="C923" s="59"/>
      <c r="D923" s="59"/>
      <c r="E923" s="59"/>
      <c r="F923" s="59"/>
      <c r="G923" s="8"/>
    </row>
    <row r="924" spans="1:7" ht="16.5" thickBot="1">
      <c r="A924" s="139"/>
      <c r="B924" s="108"/>
      <c r="C924" s="59"/>
      <c r="D924" s="59"/>
      <c r="E924" s="59"/>
      <c r="F924" s="59"/>
      <c r="G924" s="8"/>
    </row>
    <row r="925" spans="1:7" ht="16.5" thickBot="1">
      <c r="A925" s="139"/>
      <c r="B925" s="108"/>
      <c r="C925" s="59"/>
      <c r="D925" s="59"/>
      <c r="E925" s="59"/>
      <c r="F925" s="59"/>
      <c r="G925" s="8"/>
    </row>
    <row r="926" spans="1:7" ht="16.5" thickBot="1">
      <c r="A926" s="139"/>
      <c r="B926" s="108"/>
      <c r="C926" s="59"/>
      <c r="D926" s="59"/>
      <c r="E926" s="59"/>
      <c r="F926" s="59"/>
      <c r="G926" s="8"/>
    </row>
    <row r="927" spans="1:7" ht="16.5" thickBot="1">
      <c r="A927" s="139"/>
      <c r="B927" s="108"/>
      <c r="C927" s="59"/>
      <c r="D927" s="59"/>
      <c r="E927" s="59"/>
      <c r="F927" s="59"/>
      <c r="G927" s="8"/>
    </row>
    <row r="928" spans="1:7" ht="16.5" thickBot="1">
      <c r="A928" s="139"/>
      <c r="B928" s="108"/>
      <c r="C928" s="59"/>
      <c r="D928" s="59"/>
      <c r="E928" s="59"/>
      <c r="F928" s="59"/>
      <c r="G928" s="8"/>
    </row>
    <row r="929" spans="1:7" ht="16.5" thickBot="1">
      <c r="A929" s="139"/>
      <c r="B929" s="108"/>
      <c r="C929" s="59"/>
      <c r="D929" s="59"/>
      <c r="E929" s="59"/>
      <c r="F929" s="59"/>
      <c r="G929" s="8"/>
    </row>
    <row r="930" spans="1:7" ht="16.5" thickBot="1">
      <c r="A930" s="139"/>
      <c r="B930" s="108"/>
      <c r="C930" s="59"/>
      <c r="D930" s="59"/>
      <c r="E930" s="59"/>
      <c r="F930" s="59"/>
      <c r="G930" s="8"/>
    </row>
    <row r="931" spans="1:7" ht="16.5" thickBot="1">
      <c r="A931" s="139"/>
      <c r="B931" s="108"/>
      <c r="C931" s="59"/>
      <c r="D931" s="59"/>
      <c r="E931" s="59"/>
      <c r="F931" s="59"/>
      <c r="G931" s="8"/>
    </row>
    <row r="932" spans="1:7" ht="16.5" thickBot="1">
      <c r="A932" s="139"/>
      <c r="B932" s="108"/>
      <c r="C932" s="59"/>
      <c r="D932" s="59"/>
      <c r="E932" s="59"/>
      <c r="F932" s="59"/>
      <c r="G932" s="8"/>
    </row>
    <row r="933" spans="1:7" ht="16.5" thickBot="1">
      <c r="A933" s="139"/>
      <c r="B933" s="108"/>
      <c r="C933" s="59"/>
      <c r="D933" s="59"/>
      <c r="E933" s="59"/>
      <c r="F933" s="59"/>
      <c r="G933" s="8"/>
    </row>
    <row r="934" spans="1:7" ht="16.5" thickBot="1">
      <c r="A934" s="139"/>
      <c r="B934" s="108"/>
      <c r="C934" s="59"/>
      <c r="D934" s="59"/>
      <c r="E934" s="59"/>
      <c r="F934" s="59"/>
      <c r="G934" s="8"/>
    </row>
    <row r="935" spans="1:7" ht="16.5" thickBot="1">
      <c r="A935" s="139"/>
      <c r="B935" s="108"/>
      <c r="C935" s="59"/>
      <c r="D935" s="59"/>
      <c r="E935" s="59"/>
      <c r="F935" s="59"/>
      <c r="G935" s="8"/>
    </row>
    <row r="936" spans="1:7" ht="16.5" thickBot="1">
      <c r="A936" s="139"/>
      <c r="B936" s="108"/>
      <c r="C936" s="59"/>
      <c r="D936" s="59"/>
      <c r="E936" s="59"/>
      <c r="F936" s="59"/>
      <c r="G936" s="8"/>
    </row>
    <row r="937" spans="1:7" ht="16.5" thickBot="1">
      <c r="A937" s="139"/>
      <c r="B937" s="108"/>
      <c r="C937" s="59"/>
      <c r="D937" s="59"/>
      <c r="E937" s="59"/>
      <c r="F937" s="59"/>
      <c r="G937" s="8"/>
    </row>
    <row r="938" spans="1:7" ht="16.5" thickBot="1">
      <c r="A938" s="139"/>
      <c r="B938" s="108"/>
      <c r="C938" s="59"/>
      <c r="D938" s="59"/>
      <c r="E938" s="59"/>
      <c r="F938" s="59"/>
      <c r="G938" s="8"/>
    </row>
    <row r="939" spans="1:7" ht="16.5" thickBot="1">
      <c r="A939" s="139"/>
      <c r="B939" s="108"/>
      <c r="C939" s="59"/>
      <c r="D939" s="59"/>
      <c r="E939" s="59"/>
      <c r="F939" s="59"/>
      <c r="G939" s="8"/>
    </row>
    <row r="940" spans="1:7" ht="16.5" thickBot="1">
      <c r="A940" s="139"/>
      <c r="B940" s="108"/>
      <c r="C940" s="59"/>
      <c r="D940" s="59"/>
      <c r="E940" s="59"/>
      <c r="F940" s="59"/>
      <c r="G940" s="8"/>
    </row>
    <row r="941" spans="1:7" ht="16.5" thickBot="1">
      <c r="A941" s="139"/>
      <c r="B941" s="108"/>
      <c r="C941" s="59"/>
      <c r="D941" s="59"/>
      <c r="E941" s="59"/>
      <c r="F941" s="59"/>
      <c r="G941" s="8"/>
    </row>
    <row r="942" spans="1:7" ht="16.5" thickBot="1">
      <c r="A942" s="139"/>
      <c r="B942" s="108"/>
      <c r="C942" s="59"/>
      <c r="D942" s="59"/>
      <c r="E942" s="59"/>
      <c r="F942" s="59"/>
      <c r="G942" s="8"/>
    </row>
    <row r="943" spans="1:7" ht="16.5" thickBot="1">
      <c r="A943" s="139"/>
      <c r="B943" s="108"/>
      <c r="C943" s="59"/>
      <c r="D943" s="59"/>
      <c r="E943" s="59"/>
      <c r="F943" s="59"/>
      <c r="G943" s="8"/>
    </row>
    <row r="944" spans="1:7" ht="16.5" thickBot="1">
      <c r="A944" s="139"/>
      <c r="B944" s="108"/>
      <c r="C944" s="59"/>
      <c r="D944" s="59"/>
      <c r="E944" s="59"/>
      <c r="F944" s="59"/>
      <c r="G944" s="8"/>
    </row>
    <row r="945" spans="1:7" ht="16.5" thickBot="1">
      <c r="A945" s="139"/>
      <c r="B945" s="108"/>
      <c r="C945" s="59"/>
      <c r="D945" s="59"/>
      <c r="E945" s="59"/>
      <c r="F945" s="59"/>
      <c r="G945" s="8"/>
    </row>
    <row r="946" spans="1:7" ht="16.5" thickBot="1">
      <c r="A946" s="139"/>
      <c r="B946" s="108"/>
      <c r="C946" s="59"/>
      <c r="D946" s="59"/>
      <c r="E946" s="59"/>
      <c r="F946" s="59"/>
      <c r="G946" s="8"/>
    </row>
    <row r="947" spans="1:7" ht="16.5" thickBot="1">
      <c r="A947" s="139"/>
      <c r="B947" s="108"/>
      <c r="C947" s="59"/>
      <c r="D947" s="59"/>
      <c r="E947" s="59"/>
      <c r="F947" s="59"/>
      <c r="G947" s="8"/>
    </row>
    <row r="948" spans="1:7" ht="16.5" thickBot="1">
      <c r="A948" s="139"/>
      <c r="B948" s="108"/>
      <c r="C948" s="59"/>
      <c r="D948" s="59"/>
      <c r="E948" s="59"/>
      <c r="F948" s="59"/>
      <c r="G948" s="8"/>
    </row>
    <row r="949" spans="1:7" ht="16.5" thickBot="1">
      <c r="A949" s="139"/>
      <c r="B949" s="108"/>
      <c r="C949" s="59"/>
      <c r="D949" s="59"/>
      <c r="E949" s="59"/>
      <c r="F949" s="59"/>
      <c r="G949" s="8"/>
    </row>
    <row r="950" spans="1:7" ht="16.5" thickBot="1">
      <c r="A950" s="139"/>
      <c r="B950" s="108"/>
      <c r="C950" s="59"/>
      <c r="D950" s="59"/>
      <c r="E950" s="59"/>
      <c r="F950" s="59"/>
      <c r="G950" s="8"/>
    </row>
    <row r="951" spans="1:7" ht="16.5" thickBot="1">
      <c r="A951" s="139"/>
      <c r="B951" s="108"/>
      <c r="C951" s="59"/>
      <c r="D951" s="59"/>
      <c r="E951" s="59"/>
      <c r="F951" s="59"/>
      <c r="G951" s="8"/>
    </row>
    <row r="952" spans="1:7" ht="16.5" thickBot="1">
      <c r="A952" s="139"/>
      <c r="B952" s="108"/>
      <c r="C952" s="59"/>
      <c r="D952" s="59"/>
      <c r="E952" s="59"/>
      <c r="F952" s="59"/>
      <c r="G952" s="8"/>
    </row>
    <row r="953" spans="1:7" ht="16.5" thickBot="1">
      <c r="A953" s="139"/>
      <c r="B953" s="108"/>
      <c r="C953" s="59"/>
      <c r="D953" s="59"/>
      <c r="E953" s="59"/>
      <c r="F953" s="59"/>
      <c r="G953" s="8"/>
    </row>
    <row r="954" spans="1:7" ht="16.5" thickBot="1">
      <c r="A954" s="139"/>
      <c r="B954" s="108"/>
      <c r="C954" s="59"/>
      <c r="D954" s="59"/>
      <c r="E954" s="59"/>
      <c r="F954" s="59"/>
      <c r="G954" s="8"/>
    </row>
    <row r="955" spans="1:7" ht="16.5" thickBot="1">
      <c r="A955" s="139"/>
      <c r="B955" s="108"/>
      <c r="C955" s="59"/>
      <c r="D955" s="59"/>
      <c r="E955" s="59"/>
      <c r="F955" s="59"/>
      <c r="G955" s="8"/>
    </row>
    <row r="956" spans="1:7" ht="16.5" thickBot="1">
      <c r="A956" s="139"/>
      <c r="B956" s="108"/>
      <c r="C956" s="59"/>
      <c r="D956" s="59"/>
      <c r="E956" s="59"/>
      <c r="F956" s="59"/>
      <c r="G956" s="8"/>
    </row>
    <row r="957" spans="1:7" ht="16.5" thickBot="1">
      <c r="A957" s="139"/>
      <c r="B957" s="108"/>
      <c r="C957" s="59"/>
      <c r="D957" s="59"/>
      <c r="E957" s="59"/>
      <c r="F957" s="59"/>
      <c r="G957" s="8"/>
    </row>
    <row r="958" spans="1:7" ht="16.5" thickBot="1">
      <c r="A958" s="139"/>
      <c r="B958" s="108"/>
      <c r="C958" s="59"/>
      <c r="D958" s="59"/>
      <c r="E958" s="59"/>
      <c r="F958" s="59"/>
      <c r="G958" s="8"/>
    </row>
    <row r="959" spans="1:7" ht="16.5" thickBot="1">
      <c r="A959" s="139"/>
      <c r="B959" s="108"/>
      <c r="C959" s="59"/>
      <c r="D959" s="59"/>
      <c r="E959" s="59"/>
      <c r="F959" s="59"/>
      <c r="G959" s="8"/>
    </row>
    <row r="960" spans="1:7" ht="16.5" thickBot="1">
      <c r="A960" s="139"/>
      <c r="B960" s="108"/>
      <c r="C960" s="59"/>
      <c r="D960" s="59"/>
      <c r="E960" s="59"/>
      <c r="F960" s="59"/>
      <c r="G960" s="8"/>
    </row>
    <row r="961" spans="1:7" ht="16.5" thickBot="1">
      <c r="A961" s="139"/>
      <c r="B961" s="108"/>
      <c r="C961" s="59"/>
      <c r="D961" s="59"/>
      <c r="E961" s="59"/>
      <c r="F961" s="59"/>
      <c r="G961" s="8"/>
    </row>
    <row r="962" spans="1:7" ht="16.5" thickBot="1">
      <c r="A962" s="139"/>
      <c r="B962" s="108"/>
      <c r="C962" s="59"/>
      <c r="D962" s="59"/>
      <c r="E962" s="59"/>
      <c r="F962" s="59"/>
      <c r="G962" s="8"/>
    </row>
    <row r="963" spans="1:7" ht="16.5" thickBot="1">
      <c r="A963" s="139"/>
      <c r="B963" s="108"/>
      <c r="C963" s="59"/>
      <c r="D963" s="59"/>
      <c r="E963" s="59"/>
      <c r="F963" s="59"/>
      <c r="G963" s="8"/>
    </row>
    <row r="964" spans="1:7" ht="16.5" thickBot="1">
      <c r="A964" s="139"/>
      <c r="B964" s="108"/>
      <c r="C964" s="59"/>
      <c r="D964" s="59"/>
      <c r="E964" s="59"/>
      <c r="F964" s="59"/>
      <c r="G964" s="8"/>
    </row>
    <row r="965" spans="1:7" ht="16.5" thickBot="1">
      <c r="A965" s="139"/>
      <c r="B965" s="108"/>
      <c r="C965" s="59"/>
      <c r="D965" s="59"/>
      <c r="E965" s="59"/>
      <c r="F965" s="59"/>
      <c r="G965" s="8"/>
    </row>
    <row r="966" spans="1:7" ht="16.5" thickBot="1">
      <c r="A966" s="139"/>
      <c r="B966" s="108"/>
      <c r="C966" s="59"/>
      <c r="D966" s="59"/>
      <c r="E966" s="59"/>
      <c r="F966" s="59"/>
      <c r="G966" s="8"/>
    </row>
    <row r="967" spans="1:7" ht="16.5" thickBot="1">
      <c r="A967" s="139"/>
      <c r="B967" s="108"/>
      <c r="C967" s="59"/>
      <c r="D967" s="59"/>
      <c r="E967" s="59"/>
      <c r="F967" s="59"/>
      <c r="G967" s="8"/>
    </row>
    <row r="968" spans="1:7" ht="16.5" thickBot="1">
      <c r="A968" s="139"/>
      <c r="B968" s="108"/>
      <c r="C968" s="59"/>
      <c r="D968" s="59"/>
      <c r="E968" s="59"/>
      <c r="F968" s="59"/>
      <c r="G968" s="8"/>
    </row>
    <row r="969" spans="1:7" ht="16.5" thickBot="1">
      <c r="A969" s="139"/>
      <c r="B969" s="108"/>
      <c r="C969" s="59"/>
      <c r="D969" s="59"/>
      <c r="E969" s="59"/>
      <c r="F969" s="59"/>
      <c r="G969" s="8"/>
    </row>
    <row r="970" spans="1:7" ht="16.5" thickBot="1">
      <c r="A970" s="139"/>
      <c r="B970" s="108"/>
      <c r="C970" s="59"/>
      <c r="D970" s="59"/>
      <c r="E970" s="59"/>
      <c r="F970" s="59"/>
      <c r="G970" s="8"/>
    </row>
    <row r="971" spans="1:7" ht="16.5" thickBot="1">
      <c r="A971" s="139"/>
      <c r="B971" s="108"/>
      <c r="C971" s="59"/>
      <c r="D971" s="59"/>
      <c r="E971" s="59"/>
      <c r="F971" s="59"/>
      <c r="G971" s="8"/>
    </row>
    <row r="972" spans="1:7" ht="16.5" thickBot="1">
      <c r="A972" s="139"/>
      <c r="B972" s="108"/>
      <c r="C972" s="59"/>
      <c r="D972" s="59"/>
      <c r="E972" s="59"/>
      <c r="F972" s="59"/>
      <c r="G972" s="8"/>
    </row>
    <row r="973" spans="1:7" ht="16.5" thickBot="1">
      <c r="A973" s="139"/>
      <c r="B973" s="108"/>
      <c r="C973" s="59"/>
      <c r="D973" s="59"/>
      <c r="E973" s="59"/>
      <c r="F973" s="59"/>
      <c r="G973" s="8"/>
    </row>
    <row r="974" spans="1:7" ht="16.5" thickBot="1">
      <c r="A974" s="139"/>
      <c r="B974" s="108"/>
      <c r="C974" s="59"/>
      <c r="D974" s="59"/>
      <c r="E974" s="59"/>
      <c r="F974" s="59"/>
      <c r="G974" s="8"/>
    </row>
    <row r="975" spans="1:7" ht="16.5" thickBot="1">
      <c r="A975" s="139"/>
      <c r="B975" s="108"/>
      <c r="C975" s="59"/>
      <c r="D975" s="59"/>
      <c r="E975" s="59"/>
      <c r="F975" s="59"/>
      <c r="G975" s="8"/>
    </row>
    <row r="976" spans="1:7" ht="16.5" thickBot="1">
      <c r="A976" s="139"/>
      <c r="B976" s="108"/>
      <c r="C976" s="59"/>
      <c r="D976" s="59"/>
      <c r="E976" s="59"/>
      <c r="F976" s="59"/>
      <c r="G976" s="8"/>
    </row>
    <row r="977" spans="1:7" ht="16.5" thickBot="1">
      <c r="A977" s="139"/>
      <c r="B977" s="108"/>
      <c r="C977" s="59"/>
      <c r="D977" s="59"/>
      <c r="E977" s="59"/>
      <c r="F977" s="59"/>
      <c r="G977" s="8"/>
    </row>
    <row r="978" spans="1:7" ht="16.5" thickBot="1">
      <c r="A978" s="139"/>
      <c r="B978" s="108"/>
      <c r="C978" s="59"/>
      <c r="D978" s="59"/>
      <c r="E978" s="59"/>
      <c r="F978" s="59"/>
      <c r="G978" s="8"/>
    </row>
    <row r="979" spans="1:7" ht="16.5" thickBot="1">
      <c r="A979" s="139"/>
      <c r="B979" s="108"/>
      <c r="C979" s="59"/>
      <c r="D979" s="59"/>
      <c r="E979" s="59"/>
      <c r="F979" s="59"/>
      <c r="G979" s="8"/>
    </row>
    <row r="980" spans="1:7" ht="16.5" thickBot="1">
      <c r="A980" s="139"/>
      <c r="B980" s="108"/>
      <c r="C980" s="59"/>
      <c r="D980" s="59"/>
      <c r="E980" s="59"/>
      <c r="F980" s="59"/>
      <c r="G980" s="8"/>
    </row>
    <row r="981" spans="1:7" ht="16.5" thickBot="1">
      <c r="A981" s="139"/>
      <c r="B981" s="108"/>
      <c r="C981" s="59"/>
      <c r="D981" s="59"/>
      <c r="E981" s="59"/>
      <c r="F981" s="59"/>
      <c r="G981" s="8"/>
    </row>
    <row r="982" spans="1:7" ht="16.5" thickBot="1">
      <c r="A982" s="139"/>
      <c r="B982" s="108"/>
      <c r="C982" s="59"/>
      <c r="D982" s="59"/>
      <c r="E982" s="59"/>
      <c r="F982" s="59"/>
      <c r="G982" s="8"/>
    </row>
    <row r="983" spans="1:7" ht="16.5" thickBot="1">
      <c r="A983" s="139"/>
      <c r="B983" s="108"/>
      <c r="C983" s="59"/>
      <c r="D983" s="59"/>
      <c r="E983" s="59"/>
      <c r="F983" s="59"/>
      <c r="G983" s="8"/>
    </row>
    <row r="984" spans="1:7" ht="16.5" thickBot="1">
      <c r="A984" s="139"/>
      <c r="B984" s="108"/>
      <c r="C984" s="59"/>
      <c r="D984" s="59"/>
      <c r="E984" s="59"/>
      <c r="F984" s="59"/>
      <c r="G984" s="8"/>
    </row>
    <row r="985" spans="1:7" ht="16.5" thickBot="1">
      <c r="A985" s="139"/>
      <c r="B985" s="108"/>
      <c r="C985" s="59"/>
      <c r="D985" s="59"/>
      <c r="E985" s="59"/>
      <c r="F985" s="59"/>
      <c r="G985" s="8"/>
    </row>
    <row r="986" spans="1:7" ht="16.5" thickBot="1">
      <c r="A986" s="139"/>
      <c r="B986" s="108"/>
      <c r="C986" s="59"/>
      <c r="D986" s="59"/>
      <c r="E986" s="59"/>
      <c r="F986" s="59"/>
      <c r="G986" s="8"/>
    </row>
    <row r="987" spans="1:7" ht="16.5" thickBot="1">
      <c r="A987" s="139"/>
      <c r="B987" s="108"/>
      <c r="C987" s="59"/>
      <c r="D987" s="59"/>
      <c r="E987" s="59"/>
      <c r="F987" s="59"/>
      <c r="G987" s="8"/>
    </row>
    <row r="988" spans="1:7" ht="16.5" thickBot="1">
      <c r="A988" s="139"/>
      <c r="B988" s="108"/>
      <c r="C988" s="59"/>
      <c r="D988" s="59"/>
      <c r="E988" s="59"/>
      <c r="F988" s="59"/>
      <c r="G988" s="8"/>
    </row>
    <row r="989" spans="1:7" ht="16.5" thickBot="1">
      <c r="A989" s="139"/>
      <c r="B989" s="108"/>
      <c r="C989" s="59"/>
      <c r="D989" s="59"/>
      <c r="E989" s="59"/>
      <c r="F989" s="59"/>
      <c r="G989" s="8"/>
    </row>
    <row r="990" spans="1:7" ht="16.5" thickBot="1">
      <c r="A990" s="139"/>
      <c r="B990" s="108"/>
      <c r="C990" s="59"/>
      <c r="D990" s="59"/>
      <c r="E990" s="59"/>
      <c r="F990" s="59"/>
      <c r="G990" s="8"/>
    </row>
    <row r="991" spans="1:7" ht="16.5" thickBot="1">
      <c r="A991" s="139"/>
      <c r="B991" s="108"/>
      <c r="C991" s="59"/>
      <c r="D991" s="59"/>
      <c r="E991" s="59"/>
      <c r="F991" s="59"/>
      <c r="G991" s="8"/>
    </row>
    <row r="992" spans="1:7" ht="16.5" thickBot="1">
      <c r="A992" s="139"/>
      <c r="B992" s="108"/>
      <c r="C992" s="59"/>
      <c r="D992" s="59"/>
      <c r="E992" s="59"/>
      <c r="F992" s="59"/>
      <c r="G992" s="8"/>
    </row>
    <row r="993" spans="1:7" ht="16.5" thickBot="1">
      <c r="A993" s="139"/>
      <c r="B993" s="108"/>
      <c r="C993" s="59"/>
      <c r="D993" s="59"/>
      <c r="E993" s="59"/>
      <c r="F993" s="59"/>
      <c r="G993" s="8"/>
    </row>
    <row r="994" spans="1:7" ht="16.5" thickBot="1">
      <c r="A994" s="139"/>
      <c r="B994" s="108"/>
      <c r="C994" s="59"/>
      <c r="D994" s="59"/>
      <c r="E994" s="59"/>
      <c r="F994" s="59"/>
      <c r="G994" s="8"/>
    </row>
    <row r="995" spans="1:7" ht="16.5" thickBot="1">
      <c r="A995" s="139"/>
      <c r="B995" s="108"/>
      <c r="C995" s="59"/>
      <c r="D995" s="59"/>
      <c r="E995" s="59"/>
      <c r="F995" s="59"/>
      <c r="G995" s="8"/>
    </row>
    <row r="996" spans="1:7" ht="16.5" thickBot="1">
      <c r="A996" s="65"/>
      <c r="B996" s="138"/>
      <c r="C996" s="59"/>
      <c r="D996" s="59"/>
      <c r="E996" s="59"/>
      <c r="F996" s="59"/>
      <c r="G996" s="8"/>
    </row>
    <row r="997" spans="1:7" ht="16.5" thickBot="1">
      <c r="A997" s="59"/>
      <c r="B997" s="59"/>
      <c r="C997" s="59"/>
      <c r="D997" s="59"/>
      <c r="E997" s="59"/>
      <c r="F997" s="59"/>
      <c r="G997" s="8"/>
    </row>
    <row r="998" spans="1:7" ht="16.5" thickBot="1">
      <c r="A998" s="59"/>
      <c r="B998" s="59"/>
      <c r="C998" s="59"/>
      <c r="D998" s="59"/>
      <c r="E998" s="59"/>
      <c r="F998" s="59"/>
      <c r="G998" s="8"/>
    </row>
    <row r="999" spans="1:7" ht="16.5" thickBot="1">
      <c r="A999" s="59"/>
      <c r="B999" s="59"/>
      <c r="C999" s="59"/>
      <c r="D999" s="59"/>
      <c r="E999" s="59"/>
      <c r="F999" s="59"/>
      <c r="G999" s="8"/>
    </row>
    <row r="1000" spans="1:7" ht="16.5" thickBot="1">
      <c r="A1000" s="59"/>
      <c r="B1000" s="59"/>
      <c r="C1000" s="59"/>
      <c r="D1000" s="59"/>
      <c r="E1000" s="59"/>
      <c r="F1000" s="59"/>
      <c r="G1000" s="8"/>
    </row>
    <row r="1001" spans="1:7" ht="16.5" thickBot="1">
      <c r="A1001" s="59"/>
      <c r="B1001" s="59"/>
      <c r="C1001" s="59"/>
      <c r="D1001" s="59"/>
      <c r="E1001" s="59"/>
      <c r="F1001" s="59"/>
      <c r="G1001" s="8"/>
    </row>
    <row r="1002" spans="1:7" ht="16.5" thickBot="1">
      <c r="A1002" s="59"/>
      <c r="B1002" s="59"/>
      <c r="C1002" s="59"/>
      <c r="D1002" s="59"/>
      <c r="E1002" s="59"/>
      <c r="F1002" s="59"/>
      <c r="G1002" s="8"/>
    </row>
    <row r="1003" spans="1:7" ht="16.5" thickBot="1">
      <c r="A1003" s="59"/>
      <c r="B1003" s="59"/>
      <c r="C1003" s="59"/>
      <c r="D1003" s="59"/>
      <c r="E1003" s="59"/>
      <c r="F1003" s="59"/>
      <c r="G1003" s="8"/>
    </row>
    <row r="1004" spans="1:7" ht="16.5" thickBot="1">
      <c r="A1004" s="59"/>
      <c r="B1004" s="59"/>
      <c r="C1004" s="59"/>
      <c r="D1004" s="59"/>
      <c r="E1004" s="59"/>
      <c r="F1004" s="59"/>
      <c r="G1004" s="8"/>
    </row>
    <row r="1005" spans="1:7" ht="16.5" thickBot="1">
      <c r="A1005" s="59"/>
      <c r="B1005" s="59"/>
      <c r="C1005" s="59"/>
      <c r="D1005" s="59"/>
      <c r="E1005" s="59"/>
      <c r="F1005" s="59"/>
      <c r="G1005" s="8"/>
    </row>
    <row r="1006" spans="1:7" ht="16.5" thickBot="1">
      <c r="A1006" s="59"/>
      <c r="B1006" s="59"/>
      <c r="C1006" s="59"/>
      <c r="D1006" s="59"/>
      <c r="E1006" s="59"/>
      <c r="F1006" s="59"/>
      <c r="G1006" s="8"/>
    </row>
    <row r="1007" spans="1:7" ht="16.5" thickBot="1">
      <c r="A1007" s="59"/>
      <c r="B1007" s="59"/>
      <c r="C1007" s="59"/>
      <c r="D1007" s="59"/>
      <c r="E1007" s="59"/>
      <c r="F1007" s="59"/>
      <c r="G1007" s="8"/>
    </row>
    <row r="1008" spans="1:7" ht="16.5" thickBot="1">
      <c r="A1008" s="59"/>
      <c r="B1008" s="59"/>
      <c r="C1008" s="59"/>
      <c r="D1008" s="59"/>
      <c r="E1008" s="59"/>
      <c r="F1008" s="59"/>
      <c r="G1008" s="8"/>
    </row>
    <row r="1009" spans="1:7" ht="16.5" thickBot="1">
      <c r="A1009" s="59"/>
      <c r="B1009" s="59"/>
      <c r="C1009" s="59"/>
      <c r="D1009" s="59"/>
      <c r="E1009" s="59"/>
      <c r="F1009" s="59"/>
      <c r="G1009" s="8"/>
    </row>
    <row r="1010" spans="1:7" ht="16.5" thickBot="1">
      <c r="A1010" s="59"/>
      <c r="B1010" s="59"/>
      <c r="C1010" s="59"/>
      <c r="D1010" s="59"/>
      <c r="E1010" s="59"/>
      <c r="F1010" s="59"/>
      <c r="G1010" s="8"/>
    </row>
    <row r="1011" spans="1:7" ht="16.5" thickBot="1">
      <c r="A1011" s="59"/>
      <c r="B1011" s="59"/>
      <c r="C1011" s="59"/>
      <c r="D1011" s="59"/>
      <c r="E1011" s="59"/>
      <c r="F1011" s="59"/>
      <c r="G1011" s="8"/>
    </row>
    <row r="1012" spans="1:7" ht="16.5" thickBot="1">
      <c r="A1012" s="59"/>
      <c r="B1012" s="59"/>
      <c r="C1012" s="59"/>
      <c r="D1012" s="59"/>
      <c r="E1012" s="59"/>
      <c r="F1012" s="59"/>
      <c r="G1012" s="8"/>
    </row>
    <row r="1013" spans="1:7" ht="16.5" thickBot="1">
      <c r="A1013" s="59"/>
      <c r="B1013" s="59"/>
      <c r="C1013" s="59"/>
      <c r="D1013" s="59"/>
      <c r="E1013" s="59"/>
      <c r="F1013" s="59"/>
      <c r="G1013" s="8"/>
    </row>
    <row r="1014" spans="1:7" ht="16.5" thickBot="1">
      <c r="A1014" s="59"/>
      <c r="B1014" s="59"/>
      <c r="C1014" s="59"/>
      <c r="D1014" s="59"/>
      <c r="E1014" s="59"/>
      <c r="F1014" s="59"/>
      <c r="G1014" s="8"/>
    </row>
    <row r="1015" spans="1:7" ht="16.5" thickBot="1">
      <c r="A1015" s="59"/>
      <c r="B1015" s="59"/>
      <c r="C1015" s="59"/>
      <c r="D1015" s="59"/>
      <c r="E1015" s="59"/>
      <c r="F1015" s="59"/>
      <c r="G1015" s="8"/>
    </row>
    <row r="1016" spans="1:7" ht="16.5" thickBot="1">
      <c r="A1016" s="59"/>
      <c r="B1016" s="59"/>
      <c r="C1016" s="59"/>
      <c r="D1016" s="59"/>
      <c r="E1016" s="59"/>
      <c r="F1016" s="59"/>
      <c r="G1016" s="8"/>
    </row>
    <row r="1017" spans="1:7" ht="16.5" thickBot="1">
      <c r="A1017" s="59"/>
      <c r="B1017" s="59"/>
      <c r="C1017" s="59"/>
      <c r="D1017" s="59"/>
      <c r="E1017" s="59"/>
      <c r="F1017" s="59"/>
      <c r="G1017" s="8"/>
    </row>
    <row r="1018" spans="1:7" ht="16.5" thickBot="1">
      <c r="A1018" s="59"/>
      <c r="B1018" s="59"/>
      <c r="C1018" s="59"/>
      <c r="D1018" s="59"/>
      <c r="E1018" s="59"/>
      <c r="F1018" s="59"/>
      <c r="G1018" s="8"/>
    </row>
    <row r="1019" spans="1:7" ht="16.5" thickBot="1">
      <c r="A1019" s="59"/>
      <c r="B1019" s="59"/>
      <c r="C1019" s="59"/>
      <c r="D1019" s="59"/>
      <c r="E1019" s="59"/>
      <c r="F1019" s="59"/>
      <c r="G1019" s="8"/>
    </row>
    <row r="1020" spans="1:7" ht="16.5" thickBot="1">
      <c r="A1020" s="59"/>
      <c r="B1020" s="59"/>
      <c r="C1020" s="59"/>
      <c r="D1020" s="59"/>
      <c r="E1020" s="59"/>
      <c r="F1020" s="59"/>
      <c r="G1020" s="8"/>
    </row>
    <row r="1021" spans="1:7" ht="16.5" thickBot="1">
      <c r="A1021" s="59"/>
      <c r="B1021" s="59"/>
      <c r="C1021" s="59"/>
      <c r="D1021" s="59"/>
      <c r="E1021" s="59"/>
      <c r="F1021" s="59"/>
      <c r="G1021" s="8"/>
    </row>
    <row r="1022" spans="1:7" ht="16.5" thickBot="1">
      <c r="A1022" s="59"/>
      <c r="B1022" s="59"/>
      <c r="C1022" s="59"/>
      <c r="D1022" s="59"/>
      <c r="E1022" s="59"/>
      <c r="F1022" s="59"/>
      <c r="G1022" s="8"/>
    </row>
    <row r="1023" spans="1:7" ht="16.5" thickBot="1">
      <c r="A1023" s="59"/>
      <c r="B1023" s="59"/>
      <c r="C1023" s="59"/>
      <c r="D1023" s="59"/>
      <c r="E1023" s="59"/>
      <c r="F1023" s="59"/>
      <c r="G1023" s="8"/>
    </row>
    <row r="1024" spans="1:7" ht="16.5" thickBot="1">
      <c r="A1024" s="59"/>
      <c r="B1024" s="59"/>
      <c r="C1024" s="59"/>
      <c r="D1024" s="59"/>
      <c r="E1024" s="59"/>
      <c r="F1024" s="59"/>
      <c r="G1024" s="8"/>
    </row>
    <row r="1025" spans="1:7" ht="16.5" thickBot="1">
      <c r="A1025" s="59"/>
      <c r="B1025" s="59"/>
      <c r="C1025" s="59"/>
      <c r="D1025" s="59"/>
      <c r="E1025" s="59"/>
      <c r="F1025" s="59"/>
      <c r="G1025" s="8"/>
    </row>
    <row r="1026" spans="1:7" ht="16.5" thickBot="1">
      <c r="A1026" s="59"/>
      <c r="B1026" s="59"/>
      <c r="C1026" s="59"/>
      <c r="D1026" s="59"/>
      <c r="E1026" s="59"/>
      <c r="F1026" s="59"/>
      <c r="G1026" s="8"/>
    </row>
    <row r="1027" spans="1:7" ht="16.5" thickBot="1">
      <c r="A1027" s="59"/>
      <c r="B1027" s="59"/>
      <c r="C1027" s="59"/>
      <c r="D1027" s="59"/>
      <c r="E1027" s="59"/>
      <c r="F1027" s="59"/>
      <c r="G1027" s="8"/>
    </row>
    <row r="1028" spans="1:7" ht="16.5" thickBot="1">
      <c r="A1028" s="59"/>
      <c r="B1028" s="59"/>
      <c r="C1028" s="59"/>
      <c r="D1028" s="59"/>
      <c r="E1028" s="59"/>
      <c r="F1028" s="59"/>
      <c r="G1028" s="8"/>
    </row>
    <row r="1029" spans="1:7" ht="16.5" thickBot="1">
      <c r="A1029" s="59"/>
      <c r="B1029" s="59"/>
      <c r="C1029" s="59"/>
      <c r="D1029" s="59"/>
      <c r="E1029" s="59"/>
      <c r="F1029" s="59"/>
      <c r="G1029" s="8"/>
    </row>
    <row r="1030" spans="1:7" ht="16.5" thickBot="1">
      <c r="A1030" s="59"/>
      <c r="B1030" s="59"/>
      <c r="C1030" s="59"/>
      <c r="D1030" s="59"/>
      <c r="E1030" s="59"/>
      <c r="F1030" s="59"/>
      <c r="G1030" s="8"/>
    </row>
    <row r="1031" spans="1:7" ht="16.5" thickBot="1">
      <c r="A1031" s="59"/>
      <c r="B1031" s="59"/>
      <c r="C1031" s="59"/>
      <c r="D1031" s="59"/>
      <c r="E1031" s="59"/>
      <c r="F1031" s="59"/>
      <c r="G1031" s="8"/>
    </row>
    <row r="1032" spans="1:7" ht="16.5" thickBot="1">
      <c r="A1032" s="59"/>
      <c r="B1032" s="59"/>
      <c r="C1032" s="59"/>
      <c r="D1032" s="59"/>
      <c r="E1032" s="59"/>
      <c r="F1032" s="59"/>
      <c r="G1032" s="8"/>
    </row>
    <row r="1033" spans="1:7" ht="16.5" thickBot="1">
      <c r="A1033" s="59"/>
      <c r="B1033" s="59"/>
      <c r="C1033" s="59"/>
      <c r="D1033" s="59"/>
      <c r="E1033" s="59"/>
      <c r="F1033" s="59"/>
      <c r="G1033" s="8"/>
    </row>
    <row r="1034" spans="1:7" ht="16.5" thickBot="1">
      <c r="A1034" s="59"/>
      <c r="B1034" s="59"/>
      <c r="C1034" s="59"/>
      <c r="D1034" s="59"/>
      <c r="E1034" s="59"/>
      <c r="F1034" s="59"/>
      <c r="G1034" s="8"/>
    </row>
    <row r="1035" spans="1:7" ht="16.5" thickBot="1">
      <c r="A1035" s="59"/>
      <c r="B1035" s="59"/>
      <c r="C1035" s="59"/>
      <c r="D1035" s="59"/>
      <c r="E1035" s="59"/>
      <c r="F1035" s="59"/>
      <c r="G1035" s="8"/>
    </row>
    <row r="1036" spans="1:7" ht="16.5" thickBot="1">
      <c r="A1036" s="59"/>
      <c r="B1036" s="59"/>
      <c r="C1036" s="59"/>
      <c r="D1036" s="59"/>
      <c r="E1036" s="59"/>
      <c r="F1036" s="59"/>
      <c r="G1036" s="8"/>
    </row>
    <row r="1037" spans="1:7">
      <c r="A1037" s="59"/>
      <c r="B1037" s="59"/>
      <c r="C1037" s="59"/>
      <c r="D1037" s="59"/>
      <c r="E1037" s="59"/>
      <c r="F1037" s="59"/>
      <c r="G1037" s="8"/>
    </row>
    <row r="1038" spans="1:7">
      <c r="A1038" s="59"/>
      <c r="B1038" s="59"/>
      <c r="C1038" s="59"/>
      <c r="D1038" s="59"/>
      <c r="E1038" s="59"/>
      <c r="F1038" s="59"/>
      <c r="G1038" s="8"/>
    </row>
    <row r="1039" spans="1:7">
      <c r="A1039" s="59"/>
      <c r="B1039" s="59"/>
      <c r="C1039" s="59"/>
      <c r="D1039" s="59"/>
      <c r="E1039" s="59"/>
      <c r="F1039" s="59"/>
      <c r="G1039" s="8"/>
    </row>
    <row r="1040" spans="1:7">
      <c r="A1040" s="59"/>
      <c r="B1040" s="59"/>
      <c r="C1040" s="59"/>
      <c r="D1040" s="59"/>
      <c r="E1040" s="59"/>
      <c r="F1040" s="59"/>
      <c r="G1040" s="8"/>
    </row>
    <row r="1041" spans="1:7">
      <c r="A1041" s="59"/>
      <c r="B1041" s="59"/>
      <c r="C1041" s="59"/>
      <c r="D1041" s="59"/>
      <c r="E1041" s="59"/>
      <c r="F1041" s="59"/>
      <c r="G1041" s="8"/>
    </row>
    <row r="1042" spans="1:7">
      <c r="A1042" s="59"/>
      <c r="B1042" s="59"/>
      <c r="C1042" s="59"/>
      <c r="D1042" s="59"/>
      <c r="E1042" s="59"/>
      <c r="F1042" s="59"/>
      <c r="G1042" s="8"/>
    </row>
    <row r="1043" spans="1:7">
      <c r="A1043" s="58"/>
      <c r="B1043" s="4"/>
    </row>
  </sheetData>
  <mergeCells count="1">
    <mergeCell ref="E870:E872"/>
  </mergeCells>
  <conditionalFormatting sqref="E2:E867">
    <cfRule type="containsText" dxfId="2" priority="1" operator="containsText" text="Oui">
      <formula>NOT(ISERROR(SEARCH("Oui",E2)))</formula>
    </cfRule>
    <cfRule type="cellIs" dxfId="1" priority="2" operator="equal">
      <formula>"Non"</formula>
    </cfRule>
    <cfRule type="containsText" dxfId="0" priority="3" operator="containsText" text="Non-Concerné">
      <formula>NOT(ISERROR(SEARCH("Non-Concerné",E2)))</formula>
    </cfRule>
  </conditionalFormatting>
  <dataValidations count="4">
    <dataValidation type="list" showInputMessage="1" showErrorMessage="1" errorTitle="Erreur" error="Vous devez saisir une valeur entre Oui, Non ou Non-Concerné" sqref="E836:E867" xr:uid="{7D6F39E7-D4E4-4007-A117-A178B68A56C6}">
      <formula1>$C$869:$C$871</formula1>
    </dataValidation>
    <dataValidation type="list" showInputMessage="1" showErrorMessage="1" sqref="E773:E814 E708:E771 E593:E659 E661:E706 E48:E116 E118:E155 E157:E276 E278:E386 E388:E591 E816:E834" xr:uid="{685A4A78-61F1-4BF3-9D46-1AAFAF89BA43}">
      <formula1>$C$869:$C$871</formula1>
    </dataValidation>
    <dataValidation type="list" allowBlank="1" showInputMessage="1" showErrorMessage="1" sqref="E3:E46" xr:uid="{F48FFE16-2732-4A1A-B367-35804614E11B}">
      <formula1>$C$869:$C$871</formula1>
    </dataValidation>
    <dataValidation showInputMessage="1" showErrorMessage="1" sqref="E2 E47 E117 E277 E387 E592 E660 E707 E835 E772 E815 E156" xr:uid="{9EA4519E-B389-4A0A-A0D1-1957159218EE}"/>
  </dataValidations>
  <pageMargins left="0.7" right="0.7" top="0.75" bottom="0.75" header="0.3" footer="0.3"/>
  <headerFooter>
    <oddFooter>&amp;L_x000D_&amp;1#&amp;"Calibri"&amp;10&amp;K000000 C1. Informations internes</oddFooter>
  </headerFooter>
  <drawing r:id="rId1"/>
</worksheet>
</file>

<file path=docMetadata/LabelInfo.xml><?xml version="1.0" encoding="utf-8"?>
<clbl:labelList xmlns:clbl="http://schemas.microsoft.com/office/2020/mipLabelMetadata">
  <clbl:label id="{c5d400d7-af54-40e5-a4a0-a38e93275fa1}" enabled="1" method="Standard" siteId="{d8f7d00a-4328-4634-9de1-065d89561de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ACCUEIL</vt:lpstr>
      <vt:lpstr>FORMULAIRE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ROUSSEAU, Jeremy (My Money Bank)</dc:creator>
  <cp:lastModifiedBy>Jérémy Rousseau</cp:lastModifiedBy>
  <dcterms:created xsi:type="dcterms:W3CDTF">2025-02-17T09:17:49Z</dcterms:created>
  <dcterms:modified xsi:type="dcterms:W3CDTF">2025-02-19T13:42:13Z</dcterms:modified>
</cp:coreProperties>
</file>